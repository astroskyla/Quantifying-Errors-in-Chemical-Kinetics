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comments1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troskyla/Documents/Cambridge/KineticsErrors/ErrorsPaper/"/>
    </mc:Choice>
  </mc:AlternateContent>
  <xr:revisionPtr revIDLastSave="0" documentId="13_ncr:1_{3A1BAA7B-9F5D-E74E-8AE0-72C4158190E1}" xr6:coauthVersionLast="47" xr6:coauthVersionMax="47" xr10:uidLastSave="{00000000-0000-0000-0000-000000000000}"/>
  <bookViews>
    <workbookView xWindow="0" yWindow="620" windowWidth="28800" windowHeight="16020" tabRatio="599" firstSheet="4" activeTab="10" xr2:uid="{14C528AB-5FE7-491E-97C7-5B46960FE743}"/>
  </bookViews>
  <sheets>
    <sheet name="Rate Constant Compilation" sheetId="2" r:id="rId1"/>
    <sheet name="Compound Compilation" sheetId="26" r:id="rId2"/>
    <sheet name="Table 1 Values" sheetId="30" r:id="rId3"/>
    <sheet name="Figure 1- Alkenes" sheetId="35" r:id="rId4"/>
    <sheet name="Figure 1- Phenols" sheetId="34" r:id="rId5"/>
    <sheet name="Figure 1- Anilines" sheetId="36" r:id="rId6"/>
    <sheet name="Figure 1- Benzylic C-H" sheetId="37" r:id="rId7"/>
    <sheet name="Model Compound Analysis" sheetId="33" r:id="rId8"/>
    <sheet name="Figure 4- Contaminant Analysis" sheetId="32" r:id="rId9"/>
    <sheet name="Figure 6- Microcystins" sheetId="38" r:id="rId10"/>
    <sheet name="Pseudo First Order Conditions" sheetId="39" r:id="rId11"/>
  </sheets>
  <definedNames>
    <definedName name="_Hlk70956889" localSheetId="0">'Rate Constant Compilation'!$O$320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97" i="39" l="1"/>
  <c r="O94" i="39"/>
  <c r="O93" i="39"/>
  <c r="O92" i="39"/>
  <c r="O91" i="39"/>
  <c r="O90" i="39"/>
  <c r="O89" i="39"/>
  <c r="O88" i="39"/>
  <c r="O86" i="39"/>
  <c r="O85" i="39"/>
  <c r="O84" i="39"/>
  <c r="O82" i="39"/>
  <c r="O81" i="39"/>
  <c r="O79" i="39"/>
  <c r="O78" i="39"/>
  <c r="O74" i="39"/>
  <c r="O70" i="39"/>
  <c r="O68" i="39"/>
  <c r="O67" i="39"/>
  <c r="O66" i="39"/>
  <c r="P97" i="39"/>
  <c r="Q97" i="39"/>
  <c r="O96" i="39"/>
  <c r="M96" i="39" s="1"/>
  <c r="L96" i="39"/>
  <c r="L97" i="39"/>
  <c r="M36" i="39"/>
  <c r="M65" i="39"/>
  <c r="M77" i="39"/>
  <c r="O64" i="39"/>
  <c r="O63" i="39"/>
  <c r="O62" i="39"/>
  <c r="O61" i="39"/>
  <c r="O60" i="39"/>
  <c r="O53" i="39"/>
  <c r="O50" i="39"/>
  <c r="O46" i="39"/>
  <c r="O44" i="39"/>
  <c r="O41" i="39"/>
  <c r="O40" i="39"/>
  <c r="O39" i="39"/>
  <c r="O37" i="39"/>
  <c r="O34" i="39"/>
  <c r="O30" i="39"/>
  <c r="O29" i="39"/>
  <c r="O21" i="39"/>
  <c r="O20" i="39"/>
  <c r="O19" i="39"/>
  <c r="P13" i="39"/>
  <c r="P14" i="39"/>
  <c r="Q14" i="39"/>
  <c r="P16" i="39"/>
  <c r="Q16" i="39"/>
  <c r="P17" i="39"/>
  <c r="P18" i="39"/>
  <c r="Q18" i="39"/>
  <c r="P19" i="39"/>
  <c r="Q19" i="39"/>
  <c r="P20" i="39"/>
  <c r="Q20" i="39"/>
  <c r="Q22" i="39"/>
  <c r="P23" i="39"/>
  <c r="P24" i="39"/>
  <c r="Q24" i="39"/>
  <c r="P25" i="39"/>
  <c r="P26" i="39"/>
  <c r="Q26" i="39"/>
  <c r="P27" i="39"/>
  <c r="Q27" i="39"/>
  <c r="P28" i="39"/>
  <c r="Q28" i="39"/>
  <c r="P29" i="39"/>
  <c r="Q29" i="39"/>
  <c r="P30" i="39"/>
  <c r="Q30" i="39"/>
  <c r="P31" i="39"/>
  <c r="P32" i="39"/>
  <c r="Q32" i="39"/>
  <c r="P33" i="39"/>
  <c r="P34" i="39"/>
  <c r="Q34" i="39"/>
  <c r="P37" i="39"/>
  <c r="Q37" i="39"/>
  <c r="Q38" i="39"/>
  <c r="P39" i="39"/>
  <c r="Q39" i="39"/>
  <c r="P40" i="39"/>
  <c r="Q40" i="39"/>
  <c r="P41" i="39"/>
  <c r="Q41" i="39"/>
  <c r="P42" i="39"/>
  <c r="P44" i="39"/>
  <c r="Q44" i="39"/>
  <c r="P45" i="39"/>
  <c r="P46" i="39"/>
  <c r="Q46" i="39"/>
  <c r="P48" i="39"/>
  <c r="Q48" i="39"/>
  <c r="P49" i="39"/>
  <c r="P50" i="39"/>
  <c r="Q50" i="39"/>
  <c r="P51" i="39"/>
  <c r="Q51" i="39"/>
  <c r="P52" i="39"/>
  <c r="P53" i="39"/>
  <c r="Q53" i="39"/>
  <c r="Q54" i="39"/>
  <c r="P55" i="39"/>
  <c r="Q55" i="39"/>
  <c r="P56" i="39"/>
  <c r="P57" i="39"/>
  <c r="Q57" i="39"/>
  <c r="P58" i="39"/>
  <c r="Q58" i="39"/>
  <c r="P59" i="39"/>
  <c r="Q59" i="39"/>
  <c r="P60" i="39"/>
  <c r="Q60" i="39"/>
  <c r="P61" i="39"/>
  <c r="Q61" i="39"/>
  <c r="P62" i="39"/>
  <c r="Q62" i="39"/>
  <c r="P63" i="39"/>
  <c r="Q63" i="39"/>
  <c r="P64" i="39"/>
  <c r="Q64" i="39"/>
  <c r="P67" i="39"/>
  <c r="Q67" i="39"/>
  <c r="P70" i="39"/>
  <c r="Q70" i="39"/>
  <c r="Q71" i="39"/>
  <c r="P72" i="39"/>
  <c r="Q72" i="39"/>
  <c r="Q73" i="39"/>
  <c r="P74" i="39"/>
  <c r="Q74" i="39"/>
  <c r="P75" i="39"/>
  <c r="Q75" i="39"/>
  <c r="P76" i="39"/>
  <c r="Q76" i="39"/>
  <c r="P78" i="39"/>
  <c r="Q78" i="39"/>
  <c r="P79" i="39"/>
  <c r="Q79" i="39"/>
  <c r="Q80" i="39"/>
  <c r="P81" i="39"/>
  <c r="Q81" i="39"/>
  <c r="P82" i="39"/>
  <c r="Q82" i="39"/>
  <c r="P83" i="39"/>
  <c r="Q83" i="39"/>
  <c r="P84" i="39"/>
  <c r="Q84" i="39"/>
  <c r="P86" i="39"/>
  <c r="Q86" i="39"/>
  <c r="P87" i="39"/>
  <c r="Q87" i="39"/>
  <c r="Q88" i="39"/>
  <c r="P89" i="39"/>
  <c r="Q89" i="39"/>
  <c r="P90" i="39"/>
  <c r="Q90" i="39"/>
  <c r="P91" i="39"/>
  <c r="Q91" i="39"/>
  <c r="P92" i="39"/>
  <c r="Q92" i="39"/>
  <c r="Q93" i="39"/>
  <c r="P94" i="39"/>
  <c r="P95" i="39"/>
  <c r="Q12" i="39"/>
  <c r="O13" i="39"/>
  <c r="M13" i="39" s="1"/>
  <c r="O14" i="39"/>
  <c r="M14" i="39" s="1"/>
  <c r="O17" i="39"/>
  <c r="M17" i="39" s="1"/>
  <c r="O18" i="39"/>
  <c r="M18" i="39" s="1"/>
  <c r="O23" i="39"/>
  <c r="M23" i="39" s="1"/>
  <c r="O24" i="39"/>
  <c r="M24" i="39" s="1"/>
  <c r="O25" i="39"/>
  <c r="M25" i="39" s="1"/>
  <c r="O26" i="39"/>
  <c r="M26" i="39" s="1"/>
  <c r="O31" i="39"/>
  <c r="M31" i="39" s="1"/>
  <c r="O32" i="39"/>
  <c r="M32" i="39" s="1"/>
  <c r="O33" i="39"/>
  <c r="M33" i="39" s="1"/>
  <c r="O35" i="39"/>
  <c r="M35" i="39" s="1"/>
  <c r="O38" i="39"/>
  <c r="M38" i="39" s="1"/>
  <c r="O42" i="39"/>
  <c r="M42" i="39" s="1"/>
  <c r="O45" i="39"/>
  <c r="M45" i="39" s="1"/>
  <c r="O47" i="39"/>
  <c r="M47" i="39" s="1"/>
  <c r="O48" i="39"/>
  <c r="M48" i="39" s="1"/>
  <c r="O49" i="39"/>
  <c r="O51" i="39"/>
  <c r="M51" i="39" s="1"/>
  <c r="O52" i="39"/>
  <c r="O55" i="39"/>
  <c r="M55" i="39" s="1"/>
  <c r="O56" i="39"/>
  <c r="O57" i="39"/>
  <c r="M57" i="39" s="1"/>
  <c r="O58" i="39"/>
  <c r="M58" i="39" s="1"/>
  <c r="O59" i="39"/>
  <c r="M59" i="39" s="1"/>
  <c r="O69" i="39"/>
  <c r="M69" i="39" s="1"/>
  <c r="O71" i="39"/>
  <c r="M71" i="39" s="1"/>
  <c r="O72" i="39"/>
  <c r="M72" i="39" s="1"/>
  <c r="O73" i="39"/>
  <c r="M73" i="39" s="1"/>
  <c r="O75" i="39"/>
  <c r="M75" i="39" s="1"/>
  <c r="O76" i="39"/>
  <c r="M76" i="39" s="1"/>
  <c r="O87" i="39"/>
  <c r="O95" i="39"/>
  <c r="M95" i="39" s="1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L55" i="39"/>
  <c r="L56" i="39"/>
  <c r="L57" i="39"/>
  <c r="L58" i="39"/>
  <c r="L59" i="39"/>
  <c r="L60" i="39"/>
  <c r="L61" i="39"/>
  <c r="L62" i="39"/>
  <c r="L63" i="39"/>
  <c r="L64" i="39"/>
  <c r="L65" i="39"/>
  <c r="L66" i="39"/>
  <c r="L67" i="39"/>
  <c r="L68" i="39"/>
  <c r="L69" i="39"/>
  <c r="L70" i="39"/>
  <c r="L71" i="39"/>
  <c r="L72" i="39"/>
  <c r="L73" i="39"/>
  <c r="L74" i="39"/>
  <c r="L75" i="39"/>
  <c r="L76" i="39"/>
  <c r="L77" i="39"/>
  <c r="L78" i="39"/>
  <c r="L79" i="39"/>
  <c r="L80" i="39"/>
  <c r="L81" i="39"/>
  <c r="L82" i="39"/>
  <c r="L83" i="39"/>
  <c r="L84" i="39"/>
  <c r="L85" i="39"/>
  <c r="L86" i="39"/>
  <c r="L87" i="39"/>
  <c r="L88" i="39"/>
  <c r="L89" i="39"/>
  <c r="L90" i="39"/>
  <c r="L91" i="39"/>
  <c r="L92" i="39"/>
  <c r="L93" i="39"/>
  <c r="L94" i="39"/>
  <c r="L95" i="39"/>
  <c r="L12" i="39"/>
  <c r="O8" i="39"/>
  <c r="O9" i="39"/>
  <c r="O10" i="39"/>
  <c r="M10" i="39" s="1"/>
  <c r="O11" i="39"/>
  <c r="M11" i="39" s="1"/>
  <c r="P8" i="39"/>
  <c r="Q8" i="39"/>
  <c r="P9" i="39"/>
  <c r="Q9" i="39"/>
  <c r="P10" i="39"/>
  <c r="P11" i="39"/>
  <c r="Q11" i="39"/>
  <c r="Q7" i="39"/>
  <c r="P4" i="39"/>
  <c r="Q4" i="39"/>
  <c r="P5" i="39"/>
  <c r="P6" i="39"/>
  <c r="Q6" i="39"/>
  <c r="Q3" i="39"/>
  <c r="P3" i="39"/>
  <c r="O5" i="39"/>
  <c r="M5" i="39" s="1"/>
  <c r="O6" i="39"/>
  <c r="M6" i="39" s="1"/>
  <c r="O4" i="39"/>
  <c r="M4" i="39" s="1"/>
  <c r="O3" i="39"/>
  <c r="C35" i="39"/>
  <c r="Q35" i="39" s="1"/>
  <c r="B35" i="39"/>
  <c r="P35" i="39" s="1"/>
  <c r="C47" i="39"/>
  <c r="Q47" i="39" s="1"/>
  <c r="B47" i="39"/>
  <c r="P47" i="39" s="1"/>
  <c r="C15" i="39"/>
  <c r="Q15" i="39" s="1"/>
  <c r="B15" i="39"/>
  <c r="P15" i="39" s="1"/>
  <c r="C21" i="39"/>
  <c r="Q21" i="39" s="1"/>
  <c r="B21" i="39"/>
  <c r="P21" i="39" s="1"/>
  <c r="B93" i="39"/>
  <c r="P93" i="39" s="1"/>
  <c r="C96" i="39"/>
  <c r="Q96" i="39" s="1"/>
  <c r="B96" i="39"/>
  <c r="P96" i="39" s="1"/>
  <c r="B88" i="39"/>
  <c r="P88" i="39" s="1"/>
  <c r="H28" i="39"/>
  <c r="O28" i="39" s="1"/>
  <c r="M28" i="39" s="1"/>
  <c r="H27" i="39"/>
  <c r="O27" i="39" s="1"/>
  <c r="M27" i="39" s="1"/>
  <c r="I43" i="39"/>
  <c r="H43" i="39" s="1"/>
  <c r="O43" i="39" s="1"/>
  <c r="M43" i="39" s="1"/>
  <c r="B43" i="39"/>
  <c r="C43" i="39" s="1"/>
  <c r="Q43" i="39" s="1"/>
  <c r="C13" i="39"/>
  <c r="Q13" i="39" s="1"/>
  <c r="C10" i="39"/>
  <c r="Q10" i="39" s="1"/>
  <c r="C23" i="39"/>
  <c r="Q23" i="39" s="1"/>
  <c r="C17" i="39"/>
  <c r="Q17" i="39" s="1"/>
  <c r="C5" i="39"/>
  <c r="Q5" i="39" s="1"/>
  <c r="C33" i="39"/>
  <c r="Q33" i="39" s="1"/>
  <c r="C45" i="39"/>
  <c r="Q45" i="39" s="1"/>
  <c r="C42" i="39"/>
  <c r="Q42" i="39" s="1"/>
  <c r="C25" i="39"/>
  <c r="Q25" i="39" s="1"/>
  <c r="C31" i="39"/>
  <c r="Q31" i="39" s="1"/>
  <c r="C95" i="39"/>
  <c r="Q95" i="39" s="1"/>
  <c r="C9" i="39"/>
  <c r="C56" i="39"/>
  <c r="Q56" i="39" s="1"/>
  <c r="C94" i="39"/>
  <c r="Q94" i="39" s="1"/>
  <c r="C69" i="39"/>
  <c r="Q69" i="39" s="1"/>
  <c r="B69" i="39"/>
  <c r="P69" i="39" s="1"/>
  <c r="H12" i="39"/>
  <c r="O12" i="39" s="1"/>
  <c r="M12" i="39" s="1"/>
  <c r="B12" i="39"/>
  <c r="P12" i="39" s="1"/>
  <c r="H7" i="39"/>
  <c r="O7" i="39" s="1"/>
  <c r="M7" i="39" s="1"/>
  <c r="B7" i="39"/>
  <c r="P7" i="39" s="1"/>
  <c r="H22" i="39"/>
  <c r="O22" i="39" s="1"/>
  <c r="M22" i="39" s="1"/>
  <c r="B22" i="39"/>
  <c r="P22" i="39" s="1"/>
  <c r="H54" i="39"/>
  <c r="O54" i="39" s="1"/>
  <c r="M54" i="39" s="1"/>
  <c r="B54" i="39"/>
  <c r="P54" i="39" s="1"/>
  <c r="B38" i="39"/>
  <c r="P38" i="39" s="1"/>
  <c r="C85" i="39"/>
  <c r="Q85" i="39" s="1"/>
  <c r="B85" i="39"/>
  <c r="P85" i="39" s="1"/>
  <c r="C68" i="39"/>
  <c r="Q68" i="39" s="1"/>
  <c r="B68" i="39"/>
  <c r="P68" i="39" s="1"/>
  <c r="H83" i="39"/>
  <c r="O83" i="39" s="1"/>
  <c r="M83" i="39" s="1"/>
  <c r="C52" i="39"/>
  <c r="Q52" i="39" s="1"/>
  <c r="C49" i="39"/>
  <c r="Q49" i="39" s="1"/>
  <c r="B73" i="39"/>
  <c r="P73" i="39" s="1"/>
  <c r="B66" i="39"/>
  <c r="C66" i="39" s="1"/>
  <c r="Q66" i="39" s="1"/>
  <c r="B65" i="39"/>
  <c r="C65" i="39" s="1"/>
  <c r="Q65" i="39" s="1"/>
  <c r="B36" i="39"/>
  <c r="C36" i="39" s="1"/>
  <c r="Q36" i="39" s="1"/>
  <c r="B77" i="39"/>
  <c r="C77" i="39" s="1"/>
  <c r="Q77" i="39" s="1"/>
  <c r="H80" i="39"/>
  <c r="O80" i="39" s="1"/>
  <c r="M80" i="39" s="1"/>
  <c r="B80" i="39"/>
  <c r="P80" i="39" s="1"/>
  <c r="B71" i="39"/>
  <c r="P71" i="39" s="1"/>
  <c r="D10" i="38"/>
  <c r="C10" i="38"/>
  <c r="P43" i="39" l="1"/>
  <c r="P77" i="39"/>
  <c r="P65" i="39"/>
  <c r="P66" i="39"/>
  <c r="P36" i="39"/>
  <c r="Y63" i="32"/>
  <c r="Y101" i="32"/>
  <c r="Y47" i="32"/>
  <c r="Y84" i="32"/>
  <c r="Y19" i="32"/>
  <c r="Y88" i="32"/>
  <c r="Y38" i="32"/>
  <c r="Y111" i="32"/>
  <c r="Y18" i="32"/>
  <c r="Y45" i="32"/>
  <c r="Y61" i="32"/>
  <c r="Y34" i="32"/>
  <c r="Y107" i="32"/>
  <c r="Y81" i="32"/>
  <c r="Y24" i="32"/>
  <c r="Y65" i="32"/>
  <c r="Y80" i="32"/>
  <c r="Y44" i="32"/>
  <c r="Y73" i="32"/>
  <c r="Y25" i="32"/>
  <c r="Y82" i="32"/>
  <c r="Y87" i="32"/>
  <c r="Y71" i="32"/>
  <c r="Y54" i="32"/>
  <c r="Y103" i="32"/>
  <c r="Y30" i="32"/>
  <c r="Y53" i="32"/>
  <c r="Y37" i="32"/>
  <c r="Y110" i="32"/>
  <c r="Y112" i="32"/>
  <c r="Y105" i="32"/>
  <c r="Y109" i="32"/>
  <c r="Y104" i="32"/>
  <c r="Y100" i="32"/>
  <c r="Y43" i="32"/>
  <c r="Y15" i="32"/>
  <c r="Y92" i="32"/>
  <c r="Y90" i="32"/>
  <c r="Y55" i="32"/>
  <c r="Y72" i="32"/>
  <c r="Y102" i="32"/>
  <c r="Y89" i="32"/>
  <c r="Y29" i="32"/>
  <c r="Y74" i="32"/>
  <c r="Y76" i="32"/>
  <c r="Y28" i="32"/>
  <c r="Y50" i="32"/>
  <c r="Y13" i="32"/>
  <c r="Y49" i="32"/>
  <c r="Y26" i="32"/>
  <c r="Y57" i="32"/>
  <c r="Y52" i="32"/>
  <c r="Y21" i="32"/>
  <c r="Y96" i="32"/>
  <c r="Y97" i="32"/>
  <c r="Y62" i="32"/>
  <c r="Y56" i="32"/>
  <c r="Y46" i="32"/>
  <c r="Y67" i="32"/>
  <c r="Y77" i="32"/>
  <c r="Y98" i="32"/>
  <c r="Y42" i="32"/>
  <c r="Y48" i="32"/>
  <c r="Y70" i="32"/>
  <c r="Y59" i="32"/>
  <c r="Y58" i="32"/>
  <c r="Y31" i="32"/>
  <c r="Y85" i="32"/>
  <c r="Y78" i="32"/>
  <c r="Y16" i="32"/>
  <c r="Y75" i="32"/>
  <c r="Y113" i="32"/>
  <c r="Y27" i="32"/>
  <c r="Y106" i="32"/>
  <c r="Y36" i="32"/>
  <c r="Y39" i="32"/>
  <c r="Y22" i="32"/>
  <c r="Y35" i="32"/>
  <c r="Y51" i="32"/>
  <c r="Y83" i="32"/>
  <c r="Y64" i="32"/>
  <c r="Y12" i="32"/>
  <c r="Y86" i="32"/>
  <c r="Y60" i="32"/>
  <c r="Y66" i="32"/>
  <c r="Y115" i="32"/>
  <c r="Y69" i="32"/>
  <c r="Y114" i="32"/>
  <c r="Y23" i="32"/>
  <c r="Y99" i="32"/>
  <c r="Y17" i="32"/>
  <c r="Y94" i="32"/>
  <c r="Y79" i="32"/>
  <c r="Y108" i="32"/>
  <c r="Y41" i="32"/>
  <c r="Y20" i="32"/>
  <c r="Y40" i="32"/>
  <c r="Y91" i="32"/>
  <c r="Y95" i="32"/>
  <c r="Y33" i="32"/>
  <c r="Y93" i="32"/>
  <c r="Y14" i="32"/>
  <c r="Y68" i="32"/>
  <c r="Y32" i="32"/>
  <c r="F25" i="26"/>
  <c r="F19" i="26"/>
  <c r="E5" i="26"/>
  <c r="F5" i="26" s="1"/>
  <c r="F7" i="26" s="1"/>
  <c r="E19" i="26"/>
  <c r="F23" i="26"/>
  <c r="E25" i="26"/>
  <c r="E29" i="26"/>
  <c r="E30" i="26"/>
  <c r="E32" i="26" s="1"/>
  <c r="E37" i="26"/>
  <c r="F39" i="26"/>
  <c r="F40" i="26"/>
  <c r="E42" i="26"/>
  <c r="F42" i="26"/>
  <c r="E43" i="26"/>
  <c r="F43" i="26"/>
  <c r="E51" i="26"/>
  <c r="E55" i="26" s="1"/>
  <c r="F52" i="26"/>
  <c r="E54" i="26"/>
  <c r="F54" i="26"/>
  <c r="E61" i="26"/>
  <c r="F61" i="26"/>
  <c r="F65" i="26"/>
  <c r="E69" i="26"/>
  <c r="F69" i="26"/>
  <c r="E72" i="26"/>
  <c r="F72" i="26"/>
  <c r="E73" i="26"/>
  <c r="E75" i="26"/>
  <c r="E83" i="26"/>
  <c r="F83" i="26"/>
  <c r="E87" i="26"/>
  <c r="F88" i="26"/>
  <c r="E100" i="26"/>
  <c r="F100" i="26"/>
  <c r="E101" i="26"/>
  <c r="E103" i="26"/>
  <c r="E105" i="26" s="1"/>
  <c r="F105" i="26"/>
  <c r="E106" i="26"/>
  <c r="F106" i="26" s="1"/>
  <c r="F118" i="26"/>
  <c r="F119" i="26"/>
  <c r="F120" i="26"/>
  <c r="E122" i="26"/>
  <c r="F129" i="26"/>
  <c r="F130" i="26"/>
  <c r="F131" i="26"/>
  <c r="F133" i="26"/>
  <c r="E136" i="26"/>
  <c r="F139" i="26"/>
  <c r="E144" i="26"/>
  <c r="F144" i="26"/>
  <c r="F147" i="26"/>
  <c r="E151" i="26"/>
  <c r="F151" i="26"/>
  <c r="F153" i="26"/>
  <c r="F154" i="26"/>
  <c r="F156" i="26"/>
  <c r="E158" i="26"/>
  <c r="F158" i="26"/>
  <c r="F160" i="26"/>
  <c r="F161" i="26"/>
  <c r="F164" i="26"/>
  <c r="F166" i="26"/>
  <c r="F170" i="26"/>
  <c r="E172" i="26"/>
  <c r="F173" i="26" s="1"/>
  <c r="F172" i="26"/>
  <c r="E174" i="26"/>
  <c r="E178" i="26" s="1"/>
  <c r="E176" i="26"/>
  <c r="F179" i="26"/>
  <c r="F180" i="26"/>
  <c r="E185" i="26"/>
  <c r="F185" i="26"/>
  <c r="F186" i="26"/>
  <c r="F188" i="26"/>
  <c r="F189" i="26"/>
  <c r="E192" i="26"/>
  <c r="F192" i="26"/>
  <c r="F193" i="26"/>
  <c r="E194" i="26"/>
  <c r="E196" i="26" s="1"/>
  <c r="F194" i="26"/>
  <c r="F198" i="26"/>
  <c r="F199" i="26"/>
  <c r="F201" i="26"/>
  <c r="E203" i="26"/>
  <c r="E204" i="26" s="1"/>
  <c r="F203" i="26"/>
  <c r="F205" i="26"/>
  <c r="E211" i="26"/>
  <c r="F211" i="26"/>
  <c r="F213" i="26"/>
  <c r="E215" i="26"/>
  <c r="F215" i="26"/>
  <c r="F216" i="26"/>
  <c r="F219" i="26"/>
  <c r="F220" i="26"/>
  <c r="E222" i="26"/>
  <c r="E224" i="26" s="1"/>
  <c r="F226" i="26"/>
  <c r="E228" i="26"/>
  <c r="F228" i="26"/>
  <c r="E229" i="26"/>
  <c r="F229" i="26" s="1"/>
  <c r="F232" i="26"/>
  <c r="E234" i="26"/>
  <c r="F234" i="26"/>
  <c r="F236" i="26"/>
  <c r="F240" i="26"/>
  <c r="F241" i="26"/>
  <c r="E245" i="26"/>
  <c r="F245" i="26"/>
  <c r="E246" i="26"/>
  <c r="F246" i="26"/>
  <c r="F248" i="26"/>
  <c r="F249" i="26"/>
  <c r="E255" i="26"/>
  <c r="F255" i="26"/>
  <c r="E258" i="26"/>
  <c r="F258" i="26"/>
  <c r="E265" i="26"/>
  <c r="F265" i="26"/>
  <c r="E268" i="26"/>
  <c r="F268" i="26"/>
  <c r="E269" i="26"/>
  <c r="F274" i="26" s="1"/>
  <c r="E274" i="26"/>
  <c r="E278" i="26"/>
  <c r="F278" i="26"/>
  <c r="F279" i="26"/>
  <c r="F280" i="26"/>
  <c r="F283" i="26"/>
  <c r="F284" i="26"/>
  <c r="F285" i="26"/>
  <c r="E286" i="26"/>
  <c r="F286" i="26"/>
  <c r="F288" i="26"/>
  <c r="E291" i="26"/>
  <c r="F301" i="26"/>
  <c r="E304" i="26"/>
  <c r="E305" i="26"/>
  <c r="F305" i="26"/>
  <c r="E306" i="26"/>
  <c r="F306" i="26"/>
  <c r="F307" i="26"/>
  <c r="F308" i="26"/>
  <c r="F313" i="26"/>
  <c r="E315" i="26"/>
  <c r="F318" i="26"/>
  <c r="E319" i="26"/>
  <c r="F320" i="26"/>
  <c r="E322" i="26"/>
  <c r="F323" i="26"/>
  <c r="E325" i="26"/>
  <c r="F325" i="26"/>
  <c r="E329" i="26"/>
  <c r="F329" i="26" s="1"/>
  <c r="E330" i="26"/>
  <c r="F330" i="26" s="1"/>
  <c r="E332" i="26"/>
  <c r="F332" i="26"/>
  <c r="E333" i="26"/>
  <c r="F333" i="26"/>
  <c r="F336" i="26"/>
  <c r="E337" i="26"/>
  <c r="E339" i="26"/>
  <c r="E344" i="26"/>
  <c r="F344" i="26" s="1"/>
  <c r="E347" i="26"/>
  <c r="E348" i="26"/>
  <c r="E349" i="26"/>
  <c r="F349" i="26"/>
  <c r="E355" i="26"/>
  <c r="E361" i="26"/>
  <c r="F363" i="26"/>
  <c r="F364" i="26"/>
  <c r="E365" i="26"/>
  <c r="E367" i="26" s="1"/>
  <c r="F365" i="26"/>
  <c r="F368" i="26"/>
  <c r="L292" i="26"/>
  <c r="M372" i="26"/>
  <c r="L146" i="26"/>
  <c r="L319" i="26"/>
  <c r="L142" i="26"/>
  <c r="L141" i="26"/>
  <c r="M194" i="26"/>
  <c r="L194" i="26" s="1"/>
  <c r="M229" i="26"/>
  <c r="L229" i="26" s="1"/>
  <c r="M291" i="26"/>
  <c r="L291" i="26" s="1"/>
  <c r="L122" i="26"/>
  <c r="L51" i="26"/>
  <c r="L37" i="26"/>
  <c r="L87" i="26"/>
  <c r="L304" i="26"/>
  <c r="L352" i="26"/>
  <c r="L348" i="26"/>
  <c r="L132" i="26"/>
  <c r="L137" i="26"/>
  <c r="L294" i="26"/>
  <c r="L29" i="26"/>
  <c r="L73" i="26"/>
  <c r="L101" i="26"/>
  <c r="L30" i="26"/>
  <c r="L75" i="26"/>
  <c r="L103" i="26"/>
  <c r="D334" i="2"/>
  <c r="D333" i="2"/>
  <c r="J316" i="2"/>
  <c r="C267" i="2"/>
  <c r="D267" i="2"/>
  <c r="J266" i="2"/>
  <c r="J254" i="2"/>
  <c r="J252" i="2"/>
  <c r="C251" i="2"/>
  <c r="D251" i="2" s="1"/>
  <c r="C250" i="2"/>
  <c r="D250" i="2" s="1"/>
  <c r="K251" i="2"/>
  <c r="J251" i="2" s="1"/>
  <c r="K250" i="2"/>
  <c r="J250" i="2" s="1"/>
  <c r="K245" i="2"/>
  <c r="J245" i="2" s="1"/>
  <c r="C245" i="2"/>
  <c r="D229" i="2"/>
  <c r="D179" i="2"/>
  <c r="D178" i="2"/>
  <c r="D177" i="2"/>
  <c r="D176" i="2"/>
  <c r="D175" i="2"/>
  <c r="D165" i="2"/>
  <c r="D166" i="2"/>
  <c r="D164" i="2"/>
  <c r="C108" i="2"/>
  <c r="D106" i="2"/>
  <c r="C106" i="2"/>
  <c r="D105" i="2"/>
  <c r="C105" i="2"/>
  <c r="C107" i="2"/>
  <c r="J98" i="2"/>
  <c r="C80" i="2"/>
  <c r="D97" i="2"/>
  <c r="D96" i="2"/>
  <c r="C90" i="2"/>
  <c r="J77" i="2"/>
  <c r="J75" i="2"/>
  <c r="J74" i="2"/>
  <c r="J73" i="2"/>
  <c r="J40" i="2"/>
  <c r="J41" i="2"/>
  <c r="J42" i="2"/>
  <c r="J43" i="2"/>
  <c r="J44" i="2"/>
  <c r="J39" i="2"/>
  <c r="C39" i="2"/>
  <c r="C40" i="2"/>
  <c r="C41" i="2"/>
  <c r="C42" i="2"/>
  <c r="C43" i="2"/>
  <c r="C44" i="2"/>
  <c r="D31" i="2"/>
  <c r="D30" i="2"/>
  <c r="C335" i="2"/>
  <c r="C334" i="2"/>
  <c r="C333" i="2"/>
  <c r="D332" i="2"/>
  <c r="C332" i="2"/>
  <c r="D331" i="2"/>
  <c r="C331" i="2"/>
  <c r="D330" i="2"/>
  <c r="C330" i="2"/>
  <c r="D329" i="2"/>
  <c r="C329" i="2"/>
  <c r="C271" i="2"/>
  <c r="D271" i="2" s="1"/>
  <c r="C327" i="2"/>
  <c r="D89" i="2"/>
  <c r="C6" i="2"/>
  <c r="J111" i="2"/>
  <c r="J110" i="2"/>
  <c r="J109" i="2"/>
  <c r="J108" i="2"/>
  <c r="E343" i="26" l="1"/>
  <c r="F247" i="26"/>
  <c r="F196" i="26"/>
  <c r="E173" i="26"/>
  <c r="E7" i="26"/>
  <c r="F269" i="26"/>
  <c r="F347" i="26"/>
  <c r="E362" i="26"/>
  <c r="F178" i="26"/>
  <c r="F343" i="26"/>
  <c r="F362" i="26"/>
  <c r="E247" i="26"/>
  <c r="F335" i="26"/>
  <c r="E335" i="26"/>
  <c r="F204" i="26"/>
  <c r="F174" i="26"/>
  <c r="F367" i="26"/>
  <c r="F32" i="26"/>
  <c r="F224" i="26"/>
  <c r="F55" i="26"/>
  <c r="K300" i="2" l="1"/>
  <c r="C295" i="2"/>
  <c r="J269" i="2" l="1"/>
  <c r="C266" i="2"/>
  <c r="C265" i="2"/>
  <c r="D228" i="2" l="1"/>
  <c r="D227" i="2"/>
  <c r="D226" i="2"/>
  <c r="D225" i="2"/>
  <c r="D211" i="2" l="1"/>
  <c r="D210" i="2"/>
  <c r="D209" i="2"/>
  <c r="D208" i="2"/>
  <c r="D207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4" i="2"/>
  <c r="D143" i="2" l="1"/>
  <c r="C143" i="2"/>
  <c r="D140" i="2"/>
  <c r="C140" i="2"/>
  <c r="D139" i="2"/>
  <c r="C139" i="2"/>
  <c r="D134" i="2"/>
  <c r="C134" i="2"/>
  <c r="C132" i="2" l="1"/>
  <c r="J132" i="2"/>
  <c r="C131" i="2"/>
  <c r="D131" i="2" s="1"/>
  <c r="C112" i="2" l="1"/>
  <c r="C111" i="2"/>
  <c r="C110" i="2"/>
  <c r="C109" i="2"/>
  <c r="C104" i="2"/>
  <c r="D104" i="2" s="1"/>
  <c r="C84" i="2" l="1"/>
  <c r="D84" i="2" s="1"/>
  <c r="C83" i="2"/>
  <c r="D83" i="2" s="1"/>
  <c r="C82" i="2"/>
  <c r="D82" i="2" s="1"/>
  <c r="D80" i="2"/>
  <c r="C79" i="2"/>
  <c r="D79" i="2" s="1"/>
  <c r="C77" i="2" l="1"/>
  <c r="C69" i="2"/>
  <c r="D47" i="2"/>
  <c r="D48" i="2"/>
  <c r="D49" i="2"/>
  <c r="D50" i="2"/>
  <c r="D45" i="2"/>
  <c r="D46" i="2"/>
  <c r="D36" i="2" l="1"/>
  <c r="D37" i="2"/>
  <c r="D38" i="2"/>
  <c r="D5" i="2" l="1"/>
  <c r="D4" i="2"/>
  <c r="O16" i="39"/>
  <c r="M93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3" authorId="0" shapeId="0" xr:uid="{287982F7-2F54-014C-A0CE-C114E9300B5F}">
      <text>
        <r>
          <rPr>
            <sz val="9"/>
            <color rgb="FF000000"/>
            <rFont val="Arial"/>
            <family val="34"/>
          </rPr>
          <t>Number of rate constant collected</t>
        </r>
      </text>
    </comment>
    <comment ref="C3" authorId="0" shapeId="0" xr:uid="{3F59BDEF-92C0-BB48-B9B1-C4755115C084}">
      <text>
        <r>
          <rPr>
            <sz val="9"/>
            <color rgb="FF000000"/>
            <rFont val="Arial"/>
            <family val="34"/>
          </rPr>
          <t>Reported second order reaction rate constant for the reaction between permanganate (MnO4-) and the organic compound listed in the column to the left. All are reported in units of (1/Ms)</t>
        </r>
      </text>
    </comment>
    <comment ref="D3" authorId="0" shapeId="0" xr:uid="{1F736A7A-781D-9D41-A192-E3C169E26249}">
      <text>
        <r>
          <rPr>
            <sz val="9"/>
            <color rgb="FF000000"/>
            <rFont val="Arial"/>
            <family val="34"/>
          </rPr>
          <t>Reported uncertainty for the reported rate constant given in units of (1/Ms) OR uncertainty calculated from the 95% confidence interval of reported pseudo first order rate constants using relative percent error. When no measure of uncertainty was reported, the cell is left blank.</t>
        </r>
      </text>
    </comment>
    <comment ref="E3" authorId="0" shapeId="0" xr:uid="{46F1A563-0C3D-4D40-8FBA-2531CB0957E3}">
      <text>
        <r>
          <rPr>
            <sz val="9"/>
            <color rgb="FF000000"/>
            <rFont val="Arial"/>
            <family val="34"/>
          </rPr>
          <t>pH reported by the authors. If experiments were performed in high purity water and no pH was reported, the pH is reported as ~5.6, which is the pH of high purity water in equilibrium with atmospheric CO2.</t>
        </r>
      </text>
    </comment>
    <comment ref="F3" authorId="0" shapeId="0" xr:uid="{617AD397-A695-F248-9822-29E769AB621B}">
      <text>
        <r>
          <rPr>
            <sz val="9"/>
            <color rgb="FF000000"/>
            <rFont val="Arial"/>
            <family val="34"/>
          </rPr>
          <t>Temperature in degrees Celsius as reported by the authors. "?" is given if no temperature was provided in the published work.</t>
        </r>
      </text>
    </comment>
    <comment ref="G3" authorId="0" shapeId="0" xr:uid="{01A006B8-8084-1146-8A78-53B6F6A979BF}">
      <text>
        <r>
          <rPr>
            <sz val="9"/>
            <color rgb="FF000000"/>
            <rFont val="Arial"/>
            <family val="34"/>
          </rPr>
          <t>Background solution conditions, including ionic strength, buffer concentration, and buffer type depending on what the authors reported.</t>
        </r>
      </text>
    </comment>
    <comment ref="I3" authorId="0" shapeId="0" xr:uid="{D4B88DDD-0392-154B-AB4F-60A45F8A53B6}">
      <text>
        <r>
          <rPr>
            <sz val="9"/>
            <color rgb="FF000000"/>
            <rFont val="Arial"/>
            <family val="34"/>
          </rPr>
          <t>Which reagent was in excess (organic compound or permanganate)</t>
        </r>
      </text>
    </comment>
    <comment ref="J3" authorId="0" shapeId="0" xr:uid="{2B2F0F82-237E-5047-9481-7A4AEA3A4353}">
      <text>
        <r>
          <rPr>
            <sz val="9"/>
            <color rgb="FF000000"/>
            <rFont val="Arial"/>
            <family val="34"/>
          </rPr>
          <t>Ratio of excess reagent:monitored reagent</t>
        </r>
      </text>
    </comment>
    <comment ref="K3" authorId="0" shapeId="0" xr:uid="{2C0172E6-02C7-2246-9584-A54C43831893}">
      <text>
        <r>
          <rPr>
            <sz val="9"/>
            <color rgb="FF000000"/>
            <rFont val="Arial"/>
            <family val="34"/>
          </rPr>
          <t>Concentration (M) of excess reagent.</t>
        </r>
      </text>
    </comment>
    <comment ref="L3" authorId="0" shapeId="0" xr:uid="{5F3D4893-41BE-DB42-85F1-F5EFDF582204}">
      <text>
        <r>
          <rPr>
            <sz val="9"/>
            <color rgb="FF000000"/>
            <rFont val="Arial"/>
            <family val="34"/>
          </rPr>
          <t>Paper number.</t>
        </r>
      </text>
    </comment>
    <comment ref="M164" authorId="0" shapeId="0" xr:uid="{46E21CA9-8D42-8A48-A4E2-FA93F46E8D5E}">
      <text>
        <r>
          <rPr>
            <sz val="10"/>
            <color rgb="FF000000"/>
            <rFont val="Tahoma"/>
            <family val="2"/>
          </rPr>
          <t>Enhancement effect of phosphate documented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July Laszakovits</author>
  </authors>
  <commentList>
    <comment ref="A3" authorId="0" shapeId="0" xr:uid="{C1FB24F9-1E96-BA4E-ACD9-40ECFB14C85B}">
      <text>
        <r>
          <rPr>
            <sz val="9"/>
            <color rgb="FF000000"/>
            <rFont val="Arial"/>
            <family val="34"/>
          </rPr>
          <t>Number of rate constant collected</t>
        </r>
      </text>
    </comment>
    <comment ref="B3" authorId="1" shapeId="0" xr:uid="{CF30F1AF-7FCD-E848-889B-6FED250D450E}">
      <text>
        <r>
          <rPr>
            <sz val="9"/>
            <color rgb="FF000000"/>
            <rFont val="Arial"/>
            <family val="34"/>
          </rPr>
          <t>Model, contaminant, or both?</t>
        </r>
      </text>
    </comment>
    <comment ref="C3" authorId="0" shapeId="0" xr:uid="{3674BBE0-AF08-F646-9A7E-07F719B6DA9E}">
      <text>
        <r>
          <rPr>
            <sz val="9"/>
            <color rgb="FF000000"/>
            <rFont val="Arial"/>
            <family val="34"/>
          </rPr>
          <t>Compound number for consolidated rate constants</t>
        </r>
      </text>
    </comment>
    <comment ref="E3" authorId="0" shapeId="0" xr:uid="{27B5CD0E-C509-BF4E-A42F-EDDFCEE828BA}">
      <text>
        <r>
          <rPr>
            <sz val="9"/>
            <color rgb="FF000000"/>
            <rFont val="Arial"/>
            <family val="34"/>
          </rPr>
          <t>Reported second order reaction rate constant for the reaction between permanganate (MnO4-) and the organic compound listed in the column to the left. All are reported in units of (1/Ms)</t>
        </r>
      </text>
    </comment>
    <comment ref="F3" authorId="0" shapeId="0" xr:uid="{9335C6C3-D982-554F-8C18-91BA0B76904B}">
      <text>
        <r>
          <rPr>
            <sz val="9"/>
            <color rgb="FF000000"/>
            <rFont val="Arial"/>
            <family val="34"/>
          </rPr>
          <t>Reported uncertainty for the reported rate constant given in units of (1/Ms) OR uncertainty calculated from the 95% confidence interval of reported pseudo first order rate constants using relative percent error. When no measure of uncertainty was reported, the cell is left blank.</t>
        </r>
      </text>
    </comment>
    <comment ref="G3" authorId="0" shapeId="0" xr:uid="{2C91D765-2405-8644-A636-D9073668F42C}">
      <text>
        <r>
          <rPr>
            <sz val="9"/>
            <color rgb="FF000000"/>
            <rFont val="Arial"/>
            <family val="34"/>
          </rPr>
          <t>pH reported by the authors. If experiments were performed in high purity water and no pH was reported, the pH is reported as ~5.6, which is the pH of high purity water in equilibrium with atmospheric CO2.</t>
        </r>
      </text>
    </comment>
    <comment ref="H3" authorId="0" shapeId="0" xr:uid="{FACCE1CE-42C3-4A49-9494-7E019CD17E62}">
      <text>
        <r>
          <rPr>
            <sz val="9"/>
            <color rgb="FF000000"/>
            <rFont val="Arial"/>
            <family val="34"/>
          </rPr>
          <t>Temperature in degrees Celsius as reported by the authors. "?" is given if no temperature was provided.</t>
        </r>
      </text>
    </comment>
    <comment ref="I3" authorId="0" shapeId="0" xr:uid="{EF08DA8A-6428-DB40-9DA8-F185A90FF221}">
      <text>
        <r>
          <rPr>
            <sz val="9"/>
            <color rgb="FF000000"/>
            <rFont val="Arial"/>
            <family val="34"/>
          </rPr>
          <t>Background solution conditions, including ionic strength, buffer concentration, and buffer type depending on what the authors reported.</t>
        </r>
      </text>
    </comment>
    <comment ref="K3" authorId="0" shapeId="0" xr:uid="{9F57036D-B36B-4142-8E3A-44C4D113179A}">
      <text>
        <r>
          <rPr>
            <sz val="9"/>
            <color rgb="FF000000"/>
            <rFont val="Arial"/>
            <family val="34"/>
          </rPr>
          <t>Which reagent was in excess (organic compound or permanganate)</t>
        </r>
      </text>
    </comment>
    <comment ref="L3" authorId="0" shapeId="0" xr:uid="{34A3B3DF-B84D-2D4E-9292-68E7808C18A8}">
      <text>
        <r>
          <rPr>
            <sz val="9"/>
            <color rgb="FF000000"/>
            <rFont val="Arial"/>
            <family val="34"/>
          </rPr>
          <t>Ratio of excess reagent:monitored reagent</t>
        </r>
      </text>
    </comment>
    <comment ref="M3" authorId="0" shapeId="0" xr:uid="{49A1C665-58E6-7446-BE48-AC827FCD8C8C}">
      <text>
        <r>
          <rPr>
            <sz val="9"/>
            <color rgb="FF000000"/>
            <rFont val="Arial"/>
            <family val="34"/>
          </rPr>
          <t>Concentration (M) of excess reagent</t>
        </r>
      </text>
    </comment>
    <comment ref="N3" authorId="0" shapeId="0" xr:uid="{74B70487-10B8-FE4E-BCF5-119ACA4FC393}">
      <text>
        <r>
          <rPr>
            <sz val="9"/>
            <color rgb="FF000000"/>
            <rFont val="Arial"/>
            <family val="34"/>
          </rPr>
          <t>Paper number.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July Laszakovits</author>
    <author>Microsoft Office User</author>
  </authors>
  <commentList>
    <comment ref="A3" authorId="0" shapeId="0" xr:uid="{0D1009EC-556A-1C4D-AD4E-E293C3888B37}">
      <text>
        <r>
          <rPr>
            <sz val="9"/>
            <color rgb="FF000000"/>
            <rFont val="Arial"/>
            <family val="34"/>
          </rPr>
          <t>Model, contaminant, or both?</t>
        </r>
      </text>
    </comment>
    <comment ref="B3" authorId="1" shapeId="0" xr:uid="{E44230BF-9430-0B40-B18D-8071388A26D0}">
      <text>
        <r>
          <rPr>
            <sz val="9"/>
            <color rgb="FF000000"/>
            <rFont val="Arial"/>
            <family val="34"/>
          </rPr>
          <t>Compound number for consolidated rate constants</t>
        </r>
      </text>
    </comment>
    <comment ref="D3" authorId="1" shapeId="0" xr:uid="{D43B70D6-B83E-5F4B-9A22-010EED05604D}">
      <text>
        <r>
          <rPr>
            <sz val="9"/>
            <color rgb="FF000000"/>
            <rFont val="Arial"/>
            <family val="34"/>
          </rPr>
          <t>Reported second order reaction rate constant for the reaction between permanganate (MnO4-) and the organic compound listed in the column to the left. All are reported in units of (1/Ms)</t>
        </r>
      </text>
    </comment>
    <comment ref="E3" authorId="1" shapeId="0" xr:uid="{707A4480-E250-8544-B76F-C753F5259DE7}">
      <text>
        <r>
          <rPr>
            <sz val="9"/>
            <color rgb="FF000000"/>
            <rFont val="Arial"/>
            <family val="34"/>
          </rPr>
          <t>Reported uncertainty for the reported rate constant given in units of (1/Ms) OR uncertainty calculated from the 95% confidence interval of reported pseudo first order rate constants using relative percent error. When no measure of uncertainty was reported, the cell is left blank.</t>
        </r>
      </text>
    </comment>
    <comment ref="F3" authorId="1" shapeId="0" xr:uid="{776FC273-FAC0-2140-A800-590F0A440595}">
      <text>
        <r>
          <rPr>
            <sz val="9"/>
            <color rgb="FF000000"/>
            <rFont val="Arial"/>
            <family val="34"/>
          </rPr>
          <t>pH reported by the authors. If experiments were performed in high purity water and no pH was reported, the pH is reported as ~5.6, which is the pH of high purity water in equilibrium with atmospheric CO2.</t>
        </r>
      </text>
    </comment>
    <comment ref="G3" authorId="1" shapeId="0" xr:uid="{AC44BA60-2A1C-2E47-804D-0AA163A7FFAB}">
      <text>
        <r>
          <rPr>
            <sz val="9"/>
            <color rgb="FF000000"/>
            <rFont val="Arial"/>
            <family val="34"/>
          </rPr>
          <t>Temperature in degrees Celsius as reported by the authors. "?" is given if no temperature was provided.</t>
        </r>
      </text>
    </comment>
    <comment ref="H3" authorId="1" shapeId="0" xr:uid="{A02E76E5-F576-B64D-8461-E18F3897BD16}">
      <text>
        <r>
          <rPr>
            <sz val="9"/>
            <color rgb="FF000000"/>
            <rFont val="Arial"/>
            <family val="34"/>
          </rPr>
          <t>Background solution conditions, including ionic strength, buffer concentration, and buffer type depending on what the authors reported.</t>
        </r>
      </text>
    </comment>
    <comment ref="I3" authorId="1" shapeId="0" xr:uid="{3778FAE7-C109-AA40-B9A8-A9A7719B2CC2}">
      <text>
        <r>
          <rPr>
            <sz val="9"/>
            <color rgb="FF000000"/>
            <rFont val="Arial"/>
            <family val="34"/>
          </rPr>
          <t xml:space="preserve">Notes on why certain measurements are considered outliers.
</t>
        </r>
      </text>
    </comment>
    <comment ref="J3" authorId="1" shapeId="0" xr:uid="{CF20CAA2-658B-C04F-A1D4-4DADAC1C3BA9}">
      <text>
        <r>
          <rPr>
            <sz val="9"/>
            <color rgb="FF000000"/>
            <rFont val="Arial"/>
            <family val="34"/>
          </rPr>
          <t>Paper number.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0" authorId="0" shapeId="0" xr:uid="{A349A1D2-1AF5-8146-878D-81F930E61E35}">
      <text>
        <r>
          <rPr>
            <sz val="9"/>
            <color rgb="FF000000"/>
            <rFont val="Arial"/>
            <family val="34"/>
          </rPr>
          <t>Substituent classification</t>
        </r>
      </text>
    </comment>
    <comment ref="H10" authorId="0" shapeId="0" xr:uid="{A3BA4BCE-5071-E943-8517-59A831203AC3}">
      <text>
        <r>
          <rPr>
            <sz val="9"/>
            <color rgb="FF000000"/>
            <rFont val="Arial"/>
            <family val="34"/>
          </rPr>
          <t>Aromatic Ring. Known reaction site.</t>
        </r>
      </text>
    </comment>
    <comment ref="I10" authorId="0" shapeId="0" xr:uid="{39D268C5-4EC4-3546-B8A0-154390D30157}">
      <text>
        <r>
          <rPr>
            <sz val="9"/>
            <color rgb="FF000000"/>
            <rFont val="Arial"/>
            <family val="34"/>
          </rPr>
          <t>Benzylic Carbon-Hydrogen Bond. Known reaction site.</t>
        </r>
      </text>
    </comment>
    <comment ref="J10" authorId="0" shapeId="0" xr:uid="{FE67C9D1-0D68-9744-B166-CDB30820D6C2}">
      <text>
        <r>
          <rPr>
            <sz val="9"/>
            <color rgb="FF000000"/>
            <rFont val="Arial"/>
            <family val="34"/>
          </rPr>
          <t>Number of alkyl groups adjacent to alkene</t>
        </r>
      </text>
    </comment>
    <comment ref="K10" authorId="0" shapeId="0" xr:uid="{F21EEB3A-CBC6-0243-999B-D14F337D82C7}">
      <text>
        <r>
          <rPr>
            <sz val="9"/>
            <color rgb="FF000000"/>
            <rFont val="Arial"/>
            <family val="34"/>
          </rPr>
          <t>Secondary amine. Known reaction site.</t>
        </r>
      </text>
    </comment>
    <comment ref="L10" authorId="0" shapeId="0" xr:uid="{065CADFA-3010-4C4D-93D1-0E2259BD49AE}">
      <text>
        <r>
          <rPr>
            <sz val="9"/>
            <color rgb="FF000000"/>
            <rFont val="Arial"/>
            <family val="34"/>
          </rPr>
          <t>Nitro group. Not reactive.</t>
        </r>
      </text>
    </comment>
    <comment ref="M10" authorId="0" shapeId="0" xr:uid="{353D81D3-BD2D-2F45-A0A8-23D484228D97}">
      <text>
        <r>
          <rPr>
            <sz val="9"/>
            <color rgb="FF000000"/>
            <rFont val="Arial"/>
            <family val="34"/>
          </rPr>
          <t>Carbonyl. Known reaction site.</t>
        </r>
      </text>
    </comment>
    <comment ref="N10" authorId="0" shapeId="0" xr:uid="{C4576EA8-665C-BE4A-BE3F-2DB83814BED3}">
      <text>
        <r>
          <rPr>
            <sz val="9"/>
            <color rgb="FF000000"/>
            <rFont val="Arial"/>
            <family val="34"/>
          </rPr>
          <t>Ether. Known reaction site.</t>
        </r>
      </text>
    </comment>
    <comment ref="O10" authorId="0" shapeId="0" xr:uid="{2A33E594-FC94-F34E-A5F3-D0487DEEF6FE}">
      <text>
        <r>
          <rPr>
            <sz val="9"/>
            <color rgb="FF000000"/>
            <rFont val="Arial"/>
            <family val="34"/>
          </rPr>
          <t>Alcohol. Known reaction site.</t>
        </r>
      </text>
    </comment>
    <comment ref="P10" authorId="0" shapeId="0" xr:uid="{84B38121-CC48-EA47-A887-C983332CB6C8}">
      <text>
        <r>
          <rPr>
            <sz val="9"/>
            <color rgb="FF000000"/>
            <rFont val="Arial"/>
            <family val="34"/>
          </rPr>
          <t>Carboxylic acid. Not reactive.</t>
        </r>
      </text>
    </comment>
    <comment ref="Q10" authorId="0" shapeId="0" xr:uid="{1A99240E-F20D-724C-BA39-1DA3AAD43073}">
      <text>
        <r>
          <rPr>
            <sz val="9"/>
            <color rgb="FF000000"/>
            <rFont val="Tahoma"/>
            <family val="2"/>
          </rPr>
          <t>Halogen (F, Cl, Br, or I). Not reactive.</t>
        </r>
      </text>
    </comment>
    <comment ref="R10" authorId="0" shapeId="0" xr:uid="{76F7F648-3E33-A748-8CB4-335940BDDFF6}">
      <text>
        <r>
          <rPr>
            <sz val="9"/>
            <color rgb="FF000000"/>
            <rFont val="Arial"/>
            <family val="34"/>
          </rPr>
          <t>Compound number for consolidated rate constants</t>
        </r>
      </text>
    </comment>
    <comment ref="T10" authorId="0" shapeId="0" xr:uid="{BBC5D488-1C08-DA4C-93BC-9FEA90355A5B}">
      <text>
        <r>
          <rPr>
            <sz val="9"/>
            <color rgb="FF000000"/>
            <rFont val="Arial"/>
            <family val="34"/>
          </rPr>
          <t>Reported second order reaction rate constant for the reaction between permanganate (MnO4-) and the organic compound listed in the column to the left. All are reported in units of (1/Ms).</t>
        </r>
      </text>
    </comment>
    <comment ref="U10" authorId="0" shapeId="0" xr:uid="{C9DB7649-BF52-4E4F-99D1-9380B8DC390C}">
      <text>
        <r>
          <rPr>
            <sz val="9"/>
            <color rgb="FF000000"/>
            <rFont val="Arial"/>
            <family val="34"/>
          </rPr>
          <t>Reported uncertainty for the reported rate constant given in units of (1/Ms) OR uncertainty calculated from the 95% confidence interval of reported pseudo first order rate constants using relative percent error. When no measure of uncertainty was reported, the cell is left blank.</t>
        </r>
      </text>
    </comment>
    <comment ref="V10" authorId="0" shapeId="0" xr:uid="{11302D88-8CB1-004C-8710-EDB59F024D24}">
      <text>
        <r>
          <rPr>
            <sz val="9"/>
            <color rgb="FF000000"/>
            <rFont val="Arial"/>
            <family val="34"/>
          </rPr>
          <t>Paper number.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9" authorId="0" shapeId="0" xr:uid="{625BDE3D-AA1C-C546-AB09-8452A77CFF5A}">
      <text>
        <r>
          <rPr>
            <sz val="9"/>
            <color rgb="FF000000"/>
            <rFont val="Arial"/>
            <family val="34"/>
          </rPr>
          <t>Substituent classification</t>
        </r>
      </text>
    </comment>
    <comment ref="C9" authorId="0" shapeId="0" xr:uid="{5639EF9D-82AD-1842-8D8E-97A815CDA4C5}">
      <text>
        <r>
          <rPr>
            <sz val="9"/>
            <color rgb="FF000000"/>
            <rFont val="Arial"/>
            <family val="34"/>
          </rPr>
          <t>Benzylic Carbon-Hydrogen Bond. Known reaction site.</t>
        </r>
      </text>
    </comment>
    <comment ref="D9" authorId="0" shapeId="0" xr:uid="{06CF89DF-867D-9C4E-AF81-6F54548504AE}">
      <text>
        <r>
          <rPr>
            <sz val="9"/>
            <color rgb="FF000000"/>
            <rFont val="Arial"/>
            <family val="34"/>
          </rPr>
          <t>Primary amine. Known reaction site.</t>
        </r>
      </text>
    </comment>
    <comment ref="E9" authorId="0" shapeId="0" xr:uid="{0A470573-D56E-0543-8DCB-09A1237858EC}">
      <text>
        <r>
          <rPr>
            <sz val="9"/>
            <color rgb="FF000000"/>
            <rFont val="Arial"/>
            <family val="34"/>
          </rPr>
          <t>Nitro group. Not reactive.</t>
        </r>
      </text>
    </comment>
    <comment ref="F9" authorId="0" shapeId="0" xr:uid="{95279247-0706-DA43-AF9D-FCF0CE515F57}">
      <text>
        <r>
          <rPr>
            <sz val="9"/>
            <color rgb="FF000000"/>
            <rFont val="Arial"/>
            <family val="34"/>
          </rPr>
          <t>Alcohol. Known reaction site.</t>
        </r>
      </text>
    </comment>
    <comment ref="G9" authorId="0" shapeId="0" xr:uid="{4476B818-7D51-3F4E-9402-E26567C0C775}">
      <text>
        <r>
          <rPr>
            <sz val="9"/>
            <color rgb="FF000000"/>
            <rFont val="Arial"/>
            <family val="34"/>
          </rPr>
          <t>Carboxylic acid. Not reactive.</t>
        </r>
      </text>
    </comment>
    <comment ref="H9" authorId="0" shapeId="0" xr:uid="{A66F9C83-ACCE-8D4A-9E57-4AAD6A16AF5E}">
      <text>
        <r>
          <rPr>
            <sz val="9"/>
            <color rgb="FF000000"/>
            <rFont val="Arial"/>
            <family val="34"/>
          </rPr>
          <t>Halogen (F, Cl, Br, or I). Not reactive.</t>
        </r>
      </text>
    </comment>
    <comment ref="I9" authorId="0" shapeId="0" xr:uid="{B04D44C7-E75D-7B47-AA93-2FE206D71A94}">
      <text>
        <r>
          <rPr>
            <sz val="9"/>
            <color rgb="FF000000"/>
            <rFont val="Arial"/>
            <family val="34"/>
          </rPr>
          <t>Compound number for consolidated rate constants</t>
        </r>
      </text>
    </comment>
    <comment ref="K9" authorId="0" shapeId="0" xr:uid="{241A6F6C-BDBF-2944-A605-10E257CF3720}">
      <text>
        <r>
          <rPr>
            <sz val="9"/>
            <color rgb="FF000000"/>
            <rFont val="Arial"/>
            <family val="34"/>
          </rPr>
          <t>Reported second order reaction rate constant for the reaction between permanganate (MnO4-) and the organic compound listed in the column to the left. All are reported in units of (1/Ms).</t>
        </r>
      </text>
    </comment>
    <comment ref="L9" authorId="0" shapeId="0" xr:uid="{E0AA5872-6652-9842-B35D-2E6E6626F0FF}">
      <text>
        <r>
          <rPr>
            <sz val="9"/>
            <color rgb="FF000000"/>
            <rFont val="Arial"/>
            <family val="34"/>
          </rPr>
          <t>Reported uncertainty for the reported rate constant given in units of (1/Ms) OR uncertainty calculated from the 95% confidence interval of reported pseudo first order rate constants using relative percent error. When no measure of uncertainty was reported, the cell is left blank.</t>
        </r>
      </text>
    </comment>
    <comment ref="M9" authorId="0" shapeId="0" xr:uid="{FFE43C59-F215-EE41-AD86-6DD4D1D5E898}">
      <text>
        <r>
          <rPr>
            <sz val="9"/>
            <color rgb="FF000000"/>
            <rFont val="Arial"/>
            <family val="34"/>
          </rPr>
          <t>Paper number.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8" authorId="0" shapeId="0" xr:uid="{DAEFF5AB-D07E-9E4B-9D38-A82A47F1C9B0}">
      <text>
        <r>
          <rPr>
            <sz val="9"/>
            <color rgb="FF000000"/>
            <rFont val="Arial"/>
            <family val="34"/>
          </rPr>
          <t>Substituent classification</t>
        </r>
      </text>
    </comment>
    <comment ref="C8" authorId="0" shapeId="0" xr:uid="{A537AF8F-8B3E-164D-BF21-5B770028A226}">
      <text>
        <r>
          <rPr>
            <sz val="9"/>
            <color rgb="FF000000"/>
            <rFont val="Arial"/>
            <family val="34"/>
          </rPr>
          <t>Number of alkyl groups on aromatic ring</t>
        </r>
      </text>
    </comment>
    <comment ref="D8" authorId="0" shapeId="0" xr:uid="{6B8EF574-2A3F-CC42-A258-4A03DE7B79F0}">
      <text>
        <r>
          <rPr>
            <sz val="9"/>
            <color rgb="FF000000"/>
            <rFont val="Arial"/>
            <family val="34"/>
          </rPr>
          <t>Nitro group. Not reactive.</t>
        </r>
      </text>
    </comment>
    <comment ref="E8" authorId="0" shapeId="0" xr:uid="{3E972D06-D70F-894D-B657-D9D605116705}">
      <text>
        <r>
          <rPr>
            <sz val="9"/>
            <color rgb="FF000000"/>
            <rFont val="Arial"/>
            <family val="34"/>
          </rPr>
          <t>Alcohol. Known reaction site.</t>
        </r>
      </text>
    </comment>
    <comment ref="F8" authorId="0" shapeId="0" xr:uid="{EE5C7D2A-FC28-4E4C-ACDD-18F552C56DE0}">
      <text>
        <r>
          <rPr>
            <sz val="9"/>
            <color rgb="FF000000"/>
            <rFont val="Arial"/>
            <family val="34"/>
          </rPr>
          <t>Halogen (F, Cl, Br, or I). Not reactive.</t>
        </r>
      </text>
    </comment>
    <comment ref="G8" authorId="0" shapeId="0" xr:uid="{EF83970D-461C-2E4A-B357-142F1B319778}">
      <text>
        <r>
          <rPr>
            <sz val="9"/>
            <color rgb="FF000000"/>
            <rFont val="Arial"/>
            <family val="34"/>
          </rPr>
          <t>Compound number for consolidated rate constants</t>
        </r>
      </text>
    </comment>
    <comment ref="I8" authorId="0" shapeId="0" xr:uid="{C7D4B6E0-B4E6-BA4B-A7B9-4FAE7075A7C7}">
      <text>
        <r>
          <rPr>
            <sz val="9"/>
            <color rgb="FF000000"/>
            <rFont val="Arial"/>
            <family val="34"/>
          </rPr>
          <t>Reported second order reaction rate constant for the reaction between permanganate (MnO4-) and the organic compound listed in the column to the left. All are reported in units of (1/Ms).</t>
        </r>
      </text>
    </comment>
    <comment ref="J8" authorId="0" shapeId="0" xr:uid="{83B9DA1C-B6F9-634C-A7BA-F5998B1B0B5B}">
      <text>
        <r>
          <rPr>
            <sz val="9"/>
            <color rgb="FF000000"/>
            <rFont val="Arial"/>
            <family val="34"/>
          </rPr>
          <t>Reported uncertainty for the reported rate constant given in units of (1/Ms) OR uncertainty calculated from the 95% confidence interval of reported pseudo first order rate constants using relative percent error. When no measure of uncertainty was reported, the cell is left blank.</t>
        </r>
      </text>
    </comment>
    <comment ref="K8" authorId="0" shapeId="0" xr:uid="{C21374DB-0585-2B4C-9FE3-D1A8273814D5}">
      <text>
        <r>
          <rPr>
            <sz val="9"/>
            <color rgb="FF000000"/>
            <rFont val="Arial"/>
            <family val="34"/>
          </rPr>
          <t>Paper number.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9" authorId="0" shapeId="0" xr:uid="{CE83258A-A139-B64B-87D5-936321150C88}">
      <text>
        <r>
          <rPr>
            <sz val="9"/>
            <color rgb="FF000000"/>
            <rFont val="Arial"/>
            <family val="34"/>
          </rPr>
          <t>Substituent classification</t>
        </r>
      </text>
    </comment>
    <comment ref="C9" authorId="0" shapeId="0" xr:uid="{BFD84DB8-08B4-4047-9E2D-55F4D78D6965}">
      <text>
        <r>
          <rPr>
            <sz val="9"/>
            <color rgb="FF000000"/>
            <rFont val="Arial"/>
            <family val="34"/>
          </rPr>
          <t>Benzylic Carbon-Hydrogen Bond. Known reaction site.</t>
        </r>
      </text>
    </comment>
    <comment ref="D9" authorId="0" shapeId="0" xr:uid="{F89CBF90-5210-0B40-9EF9-89FFCA3EA98B}">
      <text>
        <r>
          <rPr>
            <sz val="9"/>
            <color rgb="FF000000"/>
            <rFont val="Arial"/>
            <family val="34"/>
          </rPr>
          <t>Number of alkyl groups on aromatic ring</t>
        </r>
      </text>
    </comment>
    <comment ref="E9" authorId="0" shapeId="0" xr:uid="{1A9AF995-4FC1-B943-84AC-9EF8DD246878}">
      <text>
        <r>
          <rPr>
            <sz val="9"/>
            <color rgb="FF000000"/>
            <rFont val="Arial"/>
            <family val="34"/>
          </rPr>
          <t>Aromatic Ring. Known reaction site.</t>
        </r>
      </text>
    </comment>
    <comment ref="F9" authorId="0" shapeId="0" xr:uid="{8F1B4501-73C0-7640-B406-EB0070673247}">
      <text>
        <r>
          <rPr>
            <sz val="9"/>
            <color rgb="FF000000"/>
            <rFont val="Arial"/>
            <family val="34"/>
          </rPr>
          <t>Primary amine. Known reaction site.</t>
        </r>
      </text>
    </comment>
    <comment ref="G9" authorId="0" shapeId="0" xr:uid="{3EBD0EC8-0AAC-654A-A86D-F7E350C0647A}">
      <text>
        <r>
          <rPr>
            <sz val="9"/>
            <color rgb="FF000000"/>
            <rFont val="Arial"/>
            <family val="34"/>
          </rPr>
          <t>Nitro group. Not reactive.</t>
        </r>
      </text>
    </comment>
    <comment ref="H9" authorId="0" shapeId="0" xr:uid="{BEAFB0D0-BC0A-3844-969F-EF9FAE09FF95}">
      <text>
        <r>
          <rPr>
            <sz val="9"/>
            <color rgb="FF000000"/>
            <rFont val="Arial"/>
            <family val="34"/>
          </rPr>
          <t>Carbonyl. Known reaction site.</t>
        </r>
      </text>
    </comment>
    <comment ref="I9" authorId="0" shapeId="0" xr:uid="{712C69FC-F877-1047-BFA0-89B5A876BCA8}">
      <text>
        <r>
          <rPr>
            <sz val="9"/>
            <color rgb="FF000000"/>
            <rFont val="Arial"/>
            <family val="34"/>
          </rPr>
          <t>Alcohol. Known reaction site.</t>
        </r>
      </text>
    </comment>
    <comment ref="J9" authorId="0" shapeId="0" xr:uid="{E02244E3-9532-1F49-AA5C-0D2EEB7904B8}">
      <text>
        <r>
          <rPr>
            <sz val="9"/>
            <color rgb="FF000000"/>
            <rFont val="Arial"/>
            <family val="34"/>
          </rPr>
          <t>Compound number for consolidated rate constants</t>
        </r>
      </text>
    </comment>
    <comment ref="L9" authorId="0" shapeId="0" xr:uid="{4EF23915-6E22-DD40-AF60-48198F4CD079}">
      <text>
        <r>
          <rPr>
            <sz val="9"/>
            <color rgb="FF000000"/>
            <rFont val="Arial"/>
            <family val="34"/>
          </rPr>
          <t>Reported second order reaction rate constant for the reaction between permanganate (MnO4-) and the organic compound listed in the column to the left. All are reported in units of (1/Ms).</t>
        </r>
      </text>
    </comment>
    <comment ref="M9" authorId="0" shapeId="0" xr:uid="{1CD4B234-1929-5543-9E32-F5FB61AAAC0F}">
      <text>
        <r>
          <rPr>
            <sz val="9"/>
            <color rgb="FF000000"/>
            <rFont val="Arial"/>
            <family val="34"/>
          </rPr>
          <t>Reported uncertainty for the reported rate constant given in units of (1/Ms) OR uncertainty calculated from the 95% confidence interval of reported pseudo first order rate constants using relative percent error. When no measure of uncertainty was reported, the cell is left blank.</t>
        </r>
      </text>
    </comment>
    <comment ref="N9" authorId="0" shapeId="0" xr:uid="{5A4C2BFA-D9B3-F846-B89F-1A1E6F82F431}">
      <text>
        <r>
          <rPr>
            <sz val="9"/>
            <color rgb="FF000000"/>
            <rFont val="Arial"/>
            <family val="34"/>
          </rPr>
          <t>Paper number.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July Laszakovits</author>
    <author>Microsoft Office User</author>
  </authors>
  <commentList>
    <comment ref="A4" authorId="0" shapeId="0" xr:uid="{8A57268C-BF61-654D-8DC8-E74D0136AFBD}">
      <text>
        <r>
          <rPr>
            <sz val="9"/>
            <color rgb="FF000000"/>
            <rFont val="Arial"/>
            <family val="34"/>
          </rPr>
          <t>Model or both (contaminant and model)?</t>
        </r>
      </text>
    </comment>
    <comment ref="B4" authorId="1" shapeId="0" xr:uid="{26098025-1A91-7346-AAD9-C62D1DFA688F}">
      <text>
        <r>
          <rPr>
            <sz val="9"/>
            <color rgb="FF000000"/>
            <rFont val="Arial"/>
            <family val="34"/>
          </rPr>
          <t>Alkene. Known Reaction Site.</t>
        </r>
      </text>
    </comment>
    <comment ref="C4" authorId="1" shapeId="0" xr:uid="{98B35BD8-0435-E84F-B105-05E055EB76F0}">
      <text>
        <r>
          <rPr>
            <sz val="9"/>
            <color rgb="FF000000"/>
            <rFont val="Arial"/>
            <family val="34"/>
          </rPr>
          <t>Alkyne. Known reaction site.</t>
        </r>
      </text>
    </comment>
    <comment ref="D4" authorId="1" shapeId="0" xr:uid="{89DB7114-B240-C046-87FD-D0FC3206DD1B}">
      <text>
        <r>
          <rPr>
            <sz val="9"/>
            <color rgb="FF000000"/>
            <rFont val="Arial"/>
            <family val="34"/>
          </rPr>
          <t>Aromatic Ring. Known reaction site.</t>
        </r>
      </text>
    </comment>
    <comment ref="E4" authorId="1" shapeId="0" xr:uid="{1C5198C9-0DFD-D145-A056-A8E9D7F53D58}">
      <text>
        <r>
          <rPr>
            <sz val="9"/>
            <color rgb="FF000000"/>
            <rFont val="Arial"/>
            <family val="34"/>
          </rPr>
          <t>Phenolic Moiety. Known reaction site.</t>
        </r>
      </text>
    </comment>
    <comment ref="F4" authorId="1" shapeId="0" xr:uid="{D5DE6DF1-1AC0-F94A-9ED5-CC9D7565FC32}">
      <text>
        <r>
          <rPr>
            <sz val="9"/>
            <color rgb="FF000000"/>
            <rFont val="Arial"/>
            <family val="34"/>
          </rPr>
          <t>Aniline Moiety. Known reaction site.</t>
        </r>
      </text>
    </comment>
    <comment ref="G4" authorId="1" shapeId="0" xr:uid="{0B02015A-6FDF-B243-B624-9564DC53FBAB}">
      <text>
        <r>
          <rPr>
            <sz val="9"/>
            <color rgb="FF000000"/>
            <rFont val="Arial"/>
            <family val="34"/>
          </rPr>
          <t>Benzylic Carbon-Hydrogen Bond. Known reaction site.</t>
        </r>
      </text>
    </comment>
    <comment ref="H4" authorId="1" shapeId="0" xr:uid="{90D35FF8-BCAC-BE41-B440-5CE6C586A4DA}">
      <text>
        <r>
          <rPr>
            <sz val="9"/>
            <color rgb="FF000000"/>
            <rFont val="Arial"/>
            <family val="34"/>
          </rPr>
          <t>Ring containing nitrogen. Known reaction site.</t>
        </r>
      </text>
    </comment>
    <comment ref="I4" authorId="1" shapeId="0" xr:uid="{BE1AB4CF-4F5C-EC4C-804F-E82CF64183D1}">
      <text>
        <r>
          <rPr>
            <sz val="9"/>
            <color rgb="FF000000"/>
            <rFont val="Arial"/>
            <family val="34"/>
          </rPr>
          <t>Primary amine. Known reaction site.</t>
        </r>
      </text>
    </comment>
    <comment ref="J4" authorId="1" shapeId="0" xr:uid="{93445783-EE5F-8A48-9719-A8D09640D22A}">
      <text>
        <r>
          <rPr>
            <sz val="9"/>
            <color rgb="FF000000"/>
            <rFont val="Arial"/>
            <family val="34"/>
          </rPr>
          <t>Secondary amine. Known reaction site.</t>
        </r>
      </text>
    </comment>
    <comment ref="K4" authorId="1" shapeId="0" xr:uid="{9756CE84-F29C-0744-B934-3EA671D24542}">
      <text>
        <r>
          <rPr>
            <sz val="9"/>
            <color rgb="FF000000"/>
            <rFont val="Arial"/>
            <family val="34"/>
          </rPr>
          <t>Tertiary amine. Known reaction site.</t>
        </r>
      </text>
    </comment>
    <comment ref="L4" authorId="1" shapeId="0" xr:uid="{AF561567-1E6C-6048-B245-35CEF4E05BF2}">
      <text>
        <r>
          <rPr>
            <sz val="9"/>
            <color rgb="FF000000"/>
            <rFont val="Arial"/>
            <family val="34"/>
          </rPr>
          <t>Quarternary amine. Suspected reaction site.</t>
        </r>
      </text>
    </comment>
    <comment ref="M4" authorId="1" shapeId="0" xr:uid="{F68141FA-9B70-B14E-954C-3E7A7B6EF9FD}">
      <text>
        <r>
          <rPr>
            <sz val="9"/>
            <color rgb="FF000000"/>
            <rFont val="Arial"/>
            <family val="34"/>
          </rPr>
          <t>Nitro group. Not reactive.</t>
        </r>
      </text>
    </comment>
    <comment ref="N4" authorId="1" shapeId="0" xr:uid="{B5E9ADE5-3FD7-A548-ACA0-9537FD7433EA}">
      <text>
        <r>
          <rPr>
            <sz val="9"/>
            <color rgb="FF000000"/>
            <rFont val="Arial"/>
            <family val="34"/>
          </rPr>
          <t>Imine. Suspected reaction site.</t>
        </r>
      </text>
    </comment>
    <comment ref="O4" authorId="1" shapeId="0" xr:uid="{72F18257-ACB1-0348-9A07-10A1BE365475}">
      <text>
        <r>
          <rPr>
            <sz val="9"/>
            <color rgb="FF000000"/>
            <rFont val="Arial"/>
            <family val="34"/>
          </rPr>
          <t>Nitrile. Not reactive.</t>
        </r>
      </text>
    </comment>
    <comment ref="P4" authorId="1" shapeId="0" xr:uid="{33FE60A8-6EF4-464F-8626-E7E38A5C7932}">
      <text>
        <r>
          <rPr>
            <sz val="9"/>
            <color rgb="FF000000"/>
            <rFont val="Arial"/>
            <family val="34"/>
          </rPr>
          <t>Phosphate. Not reactive.</t>
        </r>
      </text>
    </comment>
    <comment ref="Q4" authorId="1" shapeId="0" xr:uid="{4EF73B3C-48E1-764C-A048-72542AD0D153}">
      <text>
        <r>
          <rPr>
            <sz val="9"/>
            <color rgb="FF000000"/>
            <rFont val="Arial"/>
            <family val="34"/>
          </rPr>
          <t>Thiol or sulfide. Not reactive.</t>
        </r>
      </text>
    </comment>
    <comment ref="R4" authorId="1" shapeId="0" xr:uid="{73824220-5C5E-AC49-B4B3-E6E83A47EAE2}">
      <text>
        <r>
          <rPr>
            <sz val="9"/>
            <color rgb="FF000000"/>
            <rFont val="Arial"/>
            <family val="34"/>
          </rPr>
          <t>Sulfoxide or sulfone. Not reactive.</t>
        </r>
      </text>
    </comment>
    <comment ref="S4" authorId="1" shapeId="0" xr:uid="{6595ACCC-2AB6-0942-85CB-16E83CCA475C}">
      <text>
        <r>
          <rPr>
            <sz val="9"/>
            <color rgb="FF000000"/>
            <rFont val="Arial"/>
            <family val="34"/>
          </rPr>
          <t>Carbonyl. Known reaction site.</t>
        </r>
      </text>
    </comment>
    <comment ref="T4" authorId="1" shapeId="0" xr:uid="{AB766A58-3844-E845-BDEC-0B0250251CC2}">
      <text>
        <r>
          <rPr>
            <sz val="9"/>
            <color rgb="FF000000"/>
            <rFont val="Arial"/>
            <family val="34"/>
          </rPr>
          <t>Ether. Known reaction site.</t>
        </r>
      </text>
    </comment>
    <comment ref="U4" authorId="1" shapeId="0" xr:uid="{9895D3C8-F7DB-7C46-8C8C-1001539AEA4F}">
      <text>
        <r>
          <rPr>
            <sz val="9"/>
            <color rgb="FF000000"/>
            <rFont val="Arial"/>
            <family val="34"/>
          </rPr>
          <t>Alcohol. Known reaction site.</t>
        </r>
      </text>
    </comment>
    <comment ref="V4" authorId="1" shapeId="0" xr:uid="{D750512C-FFE0-4B4E-9604-736265E7505D}">
      <text>
        <r>
          <rPr>
            <sz val="9"/>
            <color rgb="FF000000"/>
            <rFont val="Arial"/>
            <family val="34"/>
          </rPr>
          <t>Carboxylic acid. Not reactive.</t>
        </r>
      </text>
    </comment>
    <comment ref="W4" authorId="1" shapeId="0" xr:uid="{ECA21918-19DD-FC46-A03A-2E9D9329B100}">
      <text>
        <r>
          <rPr>
            <sz val="9"/>
            <color rgb="FF000000"/>
            <rFont val="Arial"/>
            <family val="34"/>
          </rPr>
          <t>Halogen (F, Cl, Br, or I). Not reactive.</t>
        </r>
      </text>
    </comment>
    <comment ref="X4" authorId="1" shapeId="0" xr:uid="{16BF18FB-09F8-4548-BFB1-091DC0C638D2}">
      <text>
        <r>
          <rPr>
            <sz val="9"/>
            <color rgb="FF000000"/>
            <rFont val="Arial"/>
            <family val="34"/>
          </rPr>
          <t>Compound number for consolidated rate constants</t>
        </r>
      </text>
    </comment>
    <comment ref="Z4" authorId="1" shapeId="0" xr:uid="{938FEBE0-5C29-AE49-8BB9-C425FD2F6B01}">
      <text>
        <r>
          <rPr>
            <sz val="9"/>
            <color rgb="FF000000"/>
            <rFont val="Arial"/>
            <family val="34"/>
          </rPr>
          <t>Reported second order reaction rate constant for the reaction between permanganate (MnO4-) and the organic compound listed in the column to the left. All are reported in units of (1/Ms)</t>
        </r>
      </text>
    </comment>
    <comment ref="AA4" authorId="1" shapeId="0" xr:uid="{C8452EBE-98FD-754E-9BCC-AAFD1A2E4C6D}">
      <text>
        <r>
          <rPr>
            <sz val="9"/>
            <color rgb="FF000000"/>
            <rFont val="Arial"/>
            <family val="34"/>
          </rPr>
          <t>Reported uncertainty for the reported rate constant given in units of (1/Ms) OR uncertainty calculated from the 95% confidence interval of reported pseudo first order rate constants using relative percent error. When no measure of uncertainty was reported, the cell is left blank.</t>
        </r>
      </text>
    </comment>
    <comment ref="AB4" authorId="1" shapeId="0" xr:uid="{C0116CC7-E8E8-0D43-81A1-8D2C63078F17}">
      <text>
        <r>
          <rPr>
            <sz val="9"/>
            <color rgb="FF000000"/>
            <rFont val="Arial"/>
            <family val="34"/>
          </rPr>
          <t>pH reported by the authors. If experiments were performed in high purity water and no pH was reported, the pH is reported as ~5.6, which is the pH of high purity water in equilibrium with atmospheric CO2.</t>
        </r>
      </text>
    </comment>
    <comment ref="AC4" authorId="1" shapeId="0" xr:uid="{5B89F73E-14A9-0243-9B0F-2A0247DFBA27}">
      <text>
        <r>
          <rPr>
            <sz val="9"/>
            <color rgb="FF000000"/>
            <rFont val="Arial"/>
            <family val="34"/>
          </rPr>
          <t>Temperature in degrees Celsius as reported by the authors. "?" is given if no temperature was provided.</t>
        </r>
      </text>
    </comment>
    <comment ref="AD4" authorId="1" shapeId="0" xr:uid="{84BA0777-F7DA-5048-A3E2-B84D18C523AE}">
      <text>
        <r>
          <rPr>
            <sz val="9"/>
            <color rgb="FF000000"/>
            <rFont val="Arial"/>
            <family val="34"/>
          </rPr>
          <t>Background solution conditions, including ionic strength, buffer concentration, and buffer type depending on what the authors reported.</t>
        </r>
      </text>
    </comment>
    <comment ref="AE4" authorId="1" shapeId="0" xr:uid="{CA936EA9-C285-B541-BF81-7AB154F10D8B}">
      <text>
        <r>
          <rPr>
            <sz val="9"/>
            <color rgb="FF000000"/>
            <rFont val="Arial"/>
            <family val="34"/>
          </rPr>
          <t>Paper number.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1" authorId="0" shapeId="0" xr:uid="{BC75AB5C-04FE-B54B-BB28-F106139A4DE3}">
      <text>
        <r>
          <rPr>
            <sz val="10"/>
            <color rgb="FF000000"/>
            <rFont val="Arial"/>
            <family val="34"/>
          </rPr>
          <t>Suspected reaction site that we have identified based on product analyses and model compound reactivity.</t>
        </r>
      </text>
    </comment>
    <comment ref="C11" authorId="0" shapeId="0" xr:uid="{AA7A10E4-3207-7448-BC58-BEA962F74375}">
      <text>
        <r>
          <rPr>
            <sz val="9"/>
            <color rgb="FF000000"/>
            <rFont val="Arial"/>
            <family val="34"/>
          </rPr>
          <t>Alkene. Known Reaction Site.</t>
        </r>
      </text>
    </comment>
    <comment ref="D11" authorId="0" shapeId="0" xr:uid="{21413616-90EE-A54F-9FFE-1B1A7F950B69}">
      <text>
        <r>
          <rPr>
            <sz val="9"/>
            <color rgb="FF000000"/>
            <rFont val="Arial"/>
            <family val="34"/>
          </rPr>
          <t>Alkyne. Known reaction site.</t>
        </r>
      </text>
    </comment>
    <comment ref="E11" authorId="0" shapeId="0" xr:uid="{F1E9248D-8D53-C544-8314-7A135EED669D}">
      <text>
        <r>
          <rPr>
            <sz val="10"/>
            <color rgb="FF000000"/>
            <rFont val="Tahoma"/>
            <family val="2"/>
          </rPr>
          <t>Aromatic Ring. Known reaction site.</t>
        </r>
      </text>
    </comment>
    <comment ref="F11" authorId="0" shapeId="0" xr:uid="{EE46830C-5E45-194F-BD9A-3571100806CD}">
      <text>
        <r>
          <rPr>
            <sz val="10"/>
            <color rgb="FF000000"/>
            <rFont val="Tahoma"/>
            <family val="2"/>
          </rPr>
          <t>Phenolic Moiety. Known reaction site.</t>
        </r>
      </text>
    </comment>
    <comment ref="G11" authorId="0" shapeId="0" xr:uid="{8B69794B-F01E-0748-8E17-2E99B3800D69}">
      <text>
        <r>
          <rPr>
            <sz val="10"/>
            <color rgb="FF000000"/>
            <rFont val="Tahoma"/>
            <family val="2"/>
          </rPr>
          <t>Aniline Moiety. Known reaction site.</t>
        </r>
      </text>
    </comment>
    <comment ref="H11" authorId="0" shapeId="0" xr:uid="{F2A9D364-5253-6D4B-BC5D-A82A12ACF6C1}">
      <text>
        <r>
          <rPr>
            <sz val="10"/>
            <color rgb="FF000000"/>
            <rFont val="Tahoma"/>
            <family val="2"/>
          </rPr>
          <t>Benzylic Carbon-Hydrogen Bond. Known reaction site.</t>
        </r>
      </text>
    </comment>
    <comment ref="I11" authorId="0" shapeId="0" xr:uid="{8C1AF758-6B08-F54F-8F5A-9EAF93F775FD}">
      <text>
        <r>
          <rPr>
            <sz val="10"/>
            <color rgb="FF000000"/>
            <rFont val="Tahoma"/>
            <family val="2"/>
          </rPr>
          <t>Ring containing nitrogen. Known reaction site.</t>
        </r>
      </text>
    </comment>
    <comment ref="J11" authorId="0" shapeId="0" xr:uid="{F23E34B1-DDE1-5E40-B718-2A9E2A216281}">
      <text>
        <r>
          <rPr>
            <sz val="10"/>
            <color rgb="FF000000"/>
            <rFont val="Tahoma"/>
            <family val="2"/>
          </rPr>
          <t>Primary amine. Known Reaction Site.</t>
        </r>
      </text>
    </comment>
    <comment ref="K11" authorId="0" shapeId="0" xr:uid="{5CDDE05A-9460-D044-B0C3-B380E1CE5BF2}">
      <text>
        <r>
          <rPr>
            <sz val="10"/>
            <color rgb="FF000000"/>
            <rFont val="Tahoma"/>
            <family val="2"/>
          </rPr>
          <t>Secondary amine. Known reaction site.</t>
        </r>
      </text>
    </comment>
    <comment ref="L11" authorId="0" shapeId="0" xr:uid="{73EC8471-EB12-7844-8173-80EB8F34FED9}">
      <text>
        <r>
          <rPr>
            <sz val="10"/>
            <color rgb="FF000000"/>
            <rFont val="Tahoma"/>
            <family val="2"/>
          </rPr>
          <t>Tertiary amine. Known Reaction site.</t>
        </r>
      </text>
    </comment>
    <comment ref="M11" authorId="0" shapeId="0" xr:uid="{A815FD4A-EC87-F842-AC6A-688EEC0444A7}">
      <text>
        <r>
          <rPr>
            <sz val="10"/>
            <color rgb="FF000000"/>
            <rFont val="Tahoma"/>
            <family val="2"/>
          </rPr>
          <t>Quarternary  amine. Suspected reaction site.</t>
        </r>
      </text>
    </comment>
    <comment ref="N11" authorId="0" shapeId="0" xr:uid="{46446839-C83E-1444-9910-F887FDE1C22C}">
      <text>
        <r>
          <rPr>
            <sz val="10"/>
            <color rgb="FF000000"/>
            <rFont val="Tahoma"/>
            <family val="2"/>
          </rPr>
          <t>Nitro group. Not reactive.</t>
        </r>
      </text>
    </comment>
    <comment ref="O11" authorId="0" shapeId="0" xr:uid="{B4F4E246-1593-4141-A99F-1CD4757A871D}">
      <text>
        <r>
          <rPr>
            <sz val="10"/>
            <color rgb="FF000000"/>
            <rFont val="Tahoma"/>
            <family val="2"/>
          </rPr>
          <t>Imine. Suspected reaction site.</t>
        </r>
      </text>
    </comment>
    <comment ref="P11" authorId="0" shapeId="0" xr:uid="{0B0FCFB5-A7BC-D145-9239-FFC1E56F8A82}">
      <text>
        <r>
          <rPr>
            <sz val="10"/>
            <color rgb="FF000000"/>
            <rFont val="Tahoma"/>
            <family val="2"/>
          </rPr>
          <t>Nitrile. Not reactive.</t>
        </r>
      </text>
    </comment>
    <comment ref="Q11" authorId="0" shapeId="0" xr:uid="{1A3BC921-574B-1B42-A766-E4B47E11A497}">
      <text>
        <r>
          <rPr>
            <sz val="10"/>
            <color rgb="FF000000"/>
            <rFont val="Tahoma"/>
            <family val="2"/>
          </rPr>
          <t>Phosphate. Not reactive.</t>
        </r>
      </text>
    </comment>
    <comment ref="R11" authorId="0" shapeId="0" xr:uid="{CBA6D4BC-B916-8747-8A45-DA9A83805A30}">
      <text>
        <r>
          <rPr>
            <sz val="10"/>
            <color rgb="FF000000"/>
            <rFont val="Tahoma"/>
            <family val="2"/>
          </rPr>
          <t>Thiol or sulfide. Not reactive.</t>
        </r>
      </text>
    </comment>
    <comment ref="S11" authorId="0" shapeId="0" xr:uid="{E0DC1F80-BA8B-314E-973F-ACEAA7B25F14}">
      <text>
        <r>
          <rPr>
            <sz val="10"/>
            <color rgb="FF000000"/>
            <rFont val="Tahoma"/>
            <family val="2"/>
          </rPr>
          <t>Sulfoxide or sulfone. Not reactive.</t>
        </r>
      </text>
    </comment>
    <comment ref="T11" authorId="0" shapeId="0" xr:uid="{F038C2DE-0571-7546-AC32-F7EDB890EECC}">
      <text>
        <r>
          <rPr>
            <sz val="10"/>
            <color rgb="FF000000"/>
            <rFont val="Tahoma"/>
            <family val="2"/>
          </rPr>
          <t>Carbonyl. Known reaction site.</t>
        </r>
      </text>
    </comment>
    <comment ref="U11" authorId="0" shapeId="0" xr:uid="{5ABB542D-DE06-5242-8B96-A02DF8B8B1F8}">
      <text>
        <r>
          <rPr>
            <sz val="10"/>
            <color rgb="FF000000"/>
            <rFont val="Tahoma"/>
            <family val="2"/>
          </rPr>
          <t>Ether. Known reaction site.</t>
        </r>
      </text>
    </comment>
    <comment ref="V11" authorId="0" shapeId="0" xr:uid="{F7299955-8941-D74C-9D6E-4F4FF22C2EA0}">
      <text>
        <r>
          <rPr>
            <sz val="10"/>
            <color rgb="FF000000"/>
            <rFont val="Tahoma"/>
            <family val="2"/>
          </rPr>
          <t>Alcohol. Known reaction site.</t>
        </r>
      </text>
    </comment>
    <comment ref="W11" authorId="0" shapeId="0" xr:uid="{63CABFB1-B001-9444-AAF1-348CABDDB0E1}">
      <text>
        <r>
          <rPr>
            <sz val="10"/>
            <color rgb="FF000000"/>
            <rFont val="Tahoma"/>
            <family val="2"/>
          </rPr>
          <t>Carboxylic acid. Not reactive.</t>
        </r>
      </text>
    </comment>
    <comment ref="X11" authorId="0" shapeId="0" xr:uid="{D06D6DE2-6611-854C-97F2-07CB76EFA9C2}">
      <text>
        <r>
          <rPr>
            <sz val="10"/>
            <color rgb="FF000000"/>
            <rFont val="Tahoma"/>
            <family val="2"/>
          </rPr>
          <t>Halogen (F, Cl, Br, or I). Not reactive.</t>
        </r>
      </text>
    </comment>
    <comment ref="Y11" authorId="0" shapeId="0" xr:uid="{08B09619-8FEA-844A-A0B1-ADFDD0622AD6}">
      <text>
        <r>
          <rPr>
            <sz val="10"/>
            <color rgb="FF000000"/>
            <rFont val="Tahoma"/>
            <family val="2"/>
          </rPr>
          <t>Total known or suspected reaction sites.</t>
        </r>
      </text>
    </comment>
    <comment ref="AB11" authorId="0" shapeId="0" xr:uid="{DBBD0E1F-BE62-9643-9E82-5A7539DAE4B3}">
      <text>
        <r>
          <rPr>
            <sz val="10"/>
            <color rgb="FF000000"/>
            <rFont val="Calibri"/>
            <family val="2"/>
          </rPr>
          <t xml:space="preserve">Reported second order reaction rate constant for the reaction between permanganate (MnO4-) and the organic compound listed in the column to the left. All are reported in units of (1/Ms)
</t>
        </r>
      </text>
    </comment>
    <comment ref="AC11" authorId="0" shapeId="0" xr:uid="{1AE05D4B-6A5D-5742-BB63-D2E24093EE08}">
      <text>
        <r>
          <rPr>
            <sz val="10"/>
            <color rgb="FF000000"/>
            <rFont val="Tahoma"/>
            <family val="2"/>
          </rPr>
          <t>Reported uncertainty for the reported rate constant given in units of (1/Ms) OR uncertainty calculated from the 95% confidence interval of reported pseudo first order rate constants using relative percent error. When no measure of uncertainty was reported, the cell is left blank.</t>
        </r>
      </text>
    </comment>
    <comment ref="AD11" authorId="0" shapeId="0" xr:uid="{FBC2AA7B-3AE0-4143-8472-7DF325CE145B}">
      <text>
        <r>
          <rPr>
            <sz val="10"/>
            <color rgb="FF000000"/>
            <rFont val="Tahoma"/>
            <family val="2"/>
          </rPr>
          <t>Paper number.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3" authorId="0" shapeId="0" xr:uid="{F426C413-2F0D-C942-AA51-19E76BD7D1AE}">
      <text>
        <r>
          <rPr>
            <sz val="10"/>
            <color rgb="FF000000"/>
            <rFont val="Calibri"/>
            <family val="2"/>
          </rPr>
          <t xml:space="preserve">Reported second order reaction rate constant for the reaction between permanganate (MnO4-) and the organic compound listed in the column to the left. All are reported in units of (1/Ms)
</t>
        </r>
      </text>
    </comment>
    <comment ref="D3" authorId="0" shapeId="0" xr:uid="{330B8E32-5EF5-764E-9D35-13C73ACB77C3}">
      <text>
        <r>
          <rPr>
            <sz val="10"/>
            <color rgb="FF000000"/>
            <rFont val="Tahoma"/>
            <family val="2"/>
          </rPr>
          <t>Reported uncertainty for the reported rate constant given in units of (1/Ms) OR uncertainty calculated from the 95% confidence interval of reported pseudo first order rate constants using relative percent error. When no measure of uncertainty was reported, the cell is left blank.</t>
        </r>
      </text>
    </comment>
    <comment ref="E3" authorId="0" shapeId="0" xr:uid="{9A3211F8-2A09-9E41-876B-DA350402E112}">
      <text>
        <r>
          <rPr>
            <sz val="10"/>
            <color rgb="FF000000"/>
            <rFont val="Tahoma"/>
            <family val="2"/>
          </rPr>
          <t>Paper number.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2" authorId="0" shapeId="0" xr:uid="{EEFB1509-CA62-5C42-955F-511FCE16E46A}">
      <text>
        <r>
          <rPr>
            <sz val="10"/>
            <color rgb="FF000000"/>
            <rFont val="Calibri"/>
            <family val="2"/>
          </rPr>
          <t xml:space="preserve">Reported second order reaction rate constant for the reaction between permanganate (MnO4-) and the organic compound listed in the column to the left. All are reported in units of (1/Ms)
</t>
        </r>
      </text>
    </comment>
    <comment ref="C2" authorId="0" shapeId="0" xr:uid="{100628BE-2E32-4846-86A7-9F87C71B091A}">
      <text>
        <r>
          <rPr>
            <sz val="10"/>
            <color rgb="FF000000"/>
            <rFont val="Tahoma"/>
            <family val="2"/>
          </rPr>
          <t>Reported uncertainty for the reported rate constant given in units of (1/Ms) OR uncertainty calculated from the 95% confidence interval of reported pseudo first order rate constants using relative percent error. When no measure of uncertainty was reported, the cell is left blank.</t>
        </r>
      </text>
    </comment>
    <comment ref="D2" authorId="0" shapeId="0" xr:uid="{E48D0077-A19B-D84F-96CD-4DBB5487D54A}">
      <text>
        <r>
          <rPr>
            <sz val="10"/>
            <color rgb="FF000000"/>
            <rFont val="Tahoma"/>
            <family val="2"/>
          </rPr>
          <t>pH reported by the authors. If experiments were performed in high purity water and no pH was reported, the pH is reported as ~5.6, which is the pH of high purity water in equilibrium with atmospheric CO2.</t>
        </r>
      </text>
    </comment>
    <comment ref="E2" authorId="0" shapeId="0" xr:uid="{21906E68-07EC-0E48-83E4-39857D8E0A0D}">
      <text>
        <r>
          <rPr>
            <sz val="10"/>
            <color rgb="FF000000"/>
            <rFont val="Tahoma"/>
            <family val="2"/>
          </rPr>
          <t>Temperature in degrees Celsius as reported by the authors. "?" is given if no temperature was provided.</t>
        </r>
      </text>
    </comment>
    <comment ref="F2" authorId="0" shapeId="0" xr:uid="{8BD38834-971D-954F-BB84-B588BB5983C9}">
      <text>
        <r>
          <rPr>
            <sz val="10"/>
            <color rgb="FF000000"/>
            <rFont val="Tahoma"/>
            <family val="2"/>
          </rPr>
          <t>Background solution conditions, including ionic strength, buffer concentration, and buffer type depending on what the authors reported.</t>
        </r>
      </text>
    </comment>
    <comment ref="G2" authorId="0" shapeId="0" xr:uid="{2BC8F8B6-11AB-5E47-BB4C-15C3A18FFD20}">
      <text>
        <r>
          <rPr>
            <sz val="10"/>
            <color rgb="FF000000"/>
            <rFont val="Tahoma"/>
            <family val="2"/>
          </rPr>
          <t>Which reagent was in excess (organic compound or permanganate)</t>
        </r>
      </text>
    </comment>
    <comment ref="H2" authorId="0" shapeId="0" xr:uid="{0AE4C3C9-A885-B24A-B5AC-C2D71A0286F0}">
      <text>
        <r>
          <rPr>
            <sz val="10"/>
            <color rgb="FF000000"/>
            <rFont val="Tahoma"/>
            <family val="2"/>
          </rPr>
          <t>Ratio of excess reagent:monitored reagent</t>
        </r>
      </text>
    </comment>
    <comment ref="I2" authorId="0" shapeId="0" xr:uid="{C9726E8D-6737-9644-BD18-2181574B8E90}">
      <text>
        <r>
          <rPr>
            <sz val="10"/>
            <color rgb="FF000000"/>
            <rFont val="Tahoma"/>
            <family val="2"/>
          </rPr>
          <t>Concentration (M) of excess reagent</t>
        </r>
      </text>
    </comment>
    <comment ref="J2" authorId="0" shapeId="0" xr:uid="{39C339C8-F4EC-5E47-B6F1-D4097FE3069A}">
      <text>
        <r>
          <rPr>
            <sz val="10"/>
            <color rgb="FF000000"/>
            <rFont val="Tahoma"/>
            <family val="2"/>
          </rPr>
          <t>Paper number.</t>
        </r>
      </text>
    </comment>
  </commentList>
</comments>
</file>

<file path=xl/sharedStrings.xml><?xml version="1.0" encoding="utf-8"?>
<sst xmlns="http://schemas.openxmlformats.org/spreadsheetml/2006/main" count="8317" uniqueCount="919">
  <si>
    <t>Category</t>
  </si>
  <si>
    <t>Compound</t>
  </si>
  <si>
    <t>k (1/Ms)</t>
  </si>
  <si>
    <t>Error (/Ms)</t>
  </si>
  <si>
    <t>Instrument</t>
  </si>
  <si>
    <t>pH</t>
  </si>
  <si>
    <t>Excess Reagent</t>
  </si>
  <si>
    <t>Which</t>
  </si>
  <si>
    <t>Ratio</t>
  </si>
  <si>
    <t>Temp</t>
  </si>
  <si>
    <t>Solution Conditions</t>
  </si>
  <si>
    <t>Author</t>
  </si>
  <si>
    <t>Year</t>
  </si>
  <si>
    <t>Title</t>
  </si>
  <si>
    <t>Notes</t>
  </si>
  <si>
    <t>Phenol</t>
  </si>
  <si>
    <t>Aniline</t>
  </si>
  <si>
    <t>N-Ring</t>
  </si>
  <si>
    <t>Halogen</t>
  </si>
  <si>
    <t>Wiberg &amp; Geer</t>
  </si>
  <si>
    <t>The Kinetics of Permanganate Oxidation of Acetone</t>
  </si>
  <si>
    <t>Acetone</t>
  </si>
  <si>
    <t>None, Ionic Strength controlled with NaCl, Hydroxide Ion</t>
  </si>
  <si>
    <t>UV-Vis</t>
  </si>
  <si>
    <t>Organic</t>
  </si>
  <si>
    <t>Acetol</t>
  </si>
  <si>
    <t>Pyruvaldehyde</t>
  </si>
  <si>
    <t>0.0005 to 0.0040</t>
  </si>
  <si>
    <t>0.0005 to 0.0015</t>
  </si>
  <si>
    <t>10 to 100</t>
  </si>
  <si>
    <t>Model</t>
  </si>
  <si>
    <t>COO</t>
  </si>
  <si>
    <t>C=O</t>
  </si>
  <si>
    <t>R-O-R</t>
  </si>
  <si>
    <t>OH</t>
  </si>
  <si>
    <t>C=C</t>
  </si>
  <si>
    <t>C=-C</t>
  </si>
  <si>
    <t>NR</t>
  </si>
  <si>
    <t>NR2</t>
  </si>
  <si>
    <t>NR3</t>
  </si>
  <si>
    <t>NR4+</t>
  </si>
  <si>
    <t>C=N</t>
  </si>
  <si>
    <t>C=-N</t>
  </si>
  <si>
    <t>NO2</t>
  </si>
  <si>
    <t>Aromatic</t>
  </si>
  <si>
    <t>The Kinetics of Permanganate Oxidation of Alkenes</t>
  </si>
  <si>
    <t>0.2 M Phosphate</t>
  </si>
  <si>
    <t>0.1 M Hydroxide</t>
  </si>
  <si>
    <t>0.001 to 0.006</t>
  </si>
  <si>
    <t>0.5 to 20</t>
  </si>
  <si>
    <t>0.0002 to 0.008</t>
  </si>
  <si>
    <t>Conc (M)</t>
  </si>
  <si>
    <t>1 to 5</t>
  </si>
  <si>
    <t>0.0004 to 0.002</t>
  </si>
  <si>
    <t>0.002 to 0.006</t>
  </si>
  <si>
    <t>5 to 15</t>
  </si>
  <si>
    <t>0.0005 to 0.003</t>
  </si>
  <si>
    <t>0.0005 to 0.002</t>
  </si>
  <si>
    <t>0.25 to 100</t>
  </si>
  <si>
    <t>0.0001 to 0.04</t>
  </si>
  <si>
    <t>0.001 to 0.004</t>
  </si>
  <si>
    <t>Br</t>
  </si>
  <si>
    <t>Cl</t>
  </si>
  <si>
    <t>Unknown</t>
  </si>
  <si>
    <t>Barter &amp; Littler</t>
  </si>
  <si>
    <t>Hydride Ion Transfer in Oxidations of Alcohols and Ethers</t>
  </si>
  <si>
    <t>0.2 M Acetate</t>
  </si>
  <si>
    <t>Cyclohexanol</t>
  </si>
  <si>
    <t>Titration</t>
  </si>
  <si>
    <t>Ethanol</t>
  </si>
  <si>
    <t>Dioxan</t>
  </si>
  <si>
    <t>Methanol</t>
  </si>
  <si>
    <t>2-Methoxyethanol</t>
  </si>
  <si>
    <t>Diisopropyl ether</t>
  </si>
  <si>
    <t>Isopropanol</t>
  </si>
  <si>
    <t>?</t>
  </si>
  <si>
    <t>Both</t>
  </si>
  <si>
    <t>Simandi &amp; Jaky</t>
  </si>
  <si>
    <t>Mechanism of the Permanganate Oxidation of Unsaturated Compounds. Part II. Stopped-flow Kinetic Study of the Oxidation of Acetylenedicarboxylic Acid</t>
  </si>
  <si>
    <t>Mechanism of the Permanganate Oxidation of Unsaturated Compounds. Part IV. Kinetic Investigation of the Oxidation of Maleic and Fumaric Acids</t>
  </si>
  <si>
    <t>Acetylenedicarboxylic Acid (Dianion)</t>
  </si>
  <si>
    <t>1.5 M Perchlorate</t>
  </si>
  <si>
    <t>&gt;5</t>
  </si>
  <si>
    <t>&gt;4</t>
  </si>
  <si>
    <t>Mechanism of the Permanganate Oxidation of Unsaturated Compounds. Part V. Intermediates and Kinetics of the Oxidation of Substituted Propynes</t>
  </si>
  <si>
    <t>1 to 4.9</t>
  </si>
  <si>
    <t>Propargyl alcohol</t>
  </si>
  <si>
    <t>But-2-yne-1,4-diol</t>
  </si>
  <si>
    <t>Propargyl chloride</t>
  </si>
  <si>
    <t>Propargyl bromide</t>
  </si>
  <si>
    <t>#</t>
  </si>
  <si>
    <t>Mechanism of the Permanganate Oxidation of Unsaturated Compounds. Part VI. Kinetic Investigation of the Oxidation of Methylmaleic Acid, Methylfumaric Acid, and Dimethylmaleic Acid</t>
  </si>
  <si>
    <t>Jaky &amp; Simandi</t>
  </si>
  <si>
    <t>0.01 to 0.05</t>
  </si>
  <si>
    <t>Radhakrishnamurti &amp; Sahu</t>
  </si>
  <si>
    <t>Kinetics and Mechanism of Oxidation of Nitrophenols and Nitroanilines by Potassium Permanganate</t>
  </si>
  <si>
    <t>Mechanism of the Permanganate Oxidation of Unsaturated Compounds. Part 7. Kinetics of the Oxidation of Propiolic and Phenylpropiolic Acids</t>
  </si>
  <si>
    <t>10 to 30</t>
  </si>
  <si>
    <t>0.005 to 0.03</t>
  </si>
  <si>
    <t>0.0025 to 0.015</t>
  </si>
  <si>
    <t>Mechanism of the Permanganate Oxidation of Unsaturated Compounds. Part 8. Kinetics of the Oxidation of Halogenomaleic Acids</t>
  </si>
  <si>
    <t>Simandi et al</t>
  </si>
  <si>
    <t>Bromomaleate (Dianion)</t>
  </si>
  <si>
    <t>Dichloromaleate (Dianion)</t>
  </si>
  <si>
    <t>Chloromaleate (Dianion)</t>
  </si>
  <si>
    <t>Dibromomaleate (Dianion)</t>
  </si>
  <si>
    <t>&gt;4.4</t>
  </si>
  <si>
    <t>0.005 to 0.02</t>
  </si>
  <si>
    <t>Cl x 2</t>
  </si>
  <si>
    <t>Br x 2</t>
  </si>
  <si>
    <t>Permanganate Ion Oxidations. 13. Soluble Manganese(IV) Species in the Oxidation of 2,4(1H,3H)-Pyrimidinediones (Uracils)</t>
  </si>
  <si>
    <t>Freeman et al</t>
  </si>
  <si>
    <t>0.05 M Phosphate</t>
  </si>
  <si>
    <t>Uracil</t>
  </si>
  <si>
    <t>F</t>
  </si>
  <si>
    <t>I</t>
  </si>
  <si>
    <t>Oxidation of hydrocarbons. 13. The oxidation of cinnamate ion by alkaline permanganate</t>
  </si>
  <si>
    <t>Lee &amp; Nagarajan</t>
  </si>
  <si>
    <t>0.5 M NaOH</t>
  </si>
  <si>
    <t>F x 3</t>
  </si>
  <si>
    <t>Gardner &amp; Mayer</t>
  </si>
  <si>
    <t>Understanding C-H Bond Oxidations: H. and H- Transfer in the Oxidation of Toluene by Permanganate</t>
  </si>
  <si>
    <t>Toluene</t>
  </si>
  <si>
    <t>6 to 11</t>
  </si>
  <si>
    <t>Permanganate Oxidations of Aromatic Hydrocarbons in Aqueous and Organic Solution</t>
  </si>
  <si>
    <t xml:space="preserve">Gardner </t>
  </si>
  <si>
    <t>Ethylbenzene</t>
  </si>
  <si>
    <t>0.008 M Phosphate</t>
  </si>
  <si>
    <t>Phenethylalcohol</t>
  </si>
  <si>
    <t>Benzylalcohol</t>
  </si>
  <si>
    <t>Benzaldehyde</t>
  </si>
  <si>
    <t>Tratnyek et al</t>
  </si>
  <si>
    <t>In Situ Treatment of Organics by Sequential Reduction and Oxidation</t>
  </si>
  <si>
    <t>Permanganate</t>
  </si>
  <si>
    <t>0.00007 to 0.0007</t>
  </si>
  <si>
    <t>Site Water</t>
  </si>
  <si>
    <t>GC-?</t>
  </si>
  <si>
    <t>Oxidation of Chlorinated Solvents by Permanganate</t>
  </si>
  <si>
    <t>Yan &amp; Schwartz</t>
  </si>
  <si>
    <t>Cl x 4</t>
  </si>
  <si>
    <t>Cl x 3</t>
  </si>
  <si>
    <t>? Phosphate</t>
  </si>
  <si>
    <t>GC-ECD</t>
  </si>
  <si>
    <t>0.00037 to 0.0012</t>
  </si>
  <si>
    <t>Oxidative degradation and kinetics of chlorinated ethylenes by potassium permanganate</t>
  </si>
  <si>
    <t>4 to 8</t>
  </si>
  <si>
    <t>Experimental determination of the kinetic rate law for the oxidation of perchloroethylene by potassium permanganate</t>
  </si>
  <si>
    <t>Hood et al</t>
  </si>
  <si>
    <t>Unbuffered</t>
  </si>
  <si>
    <t>0.032 to 0.2</t>
  </si>
  <si>
    <t>50 to 650</t>
  </si>
  <si>
    <t>Kinetics and mechanism of the oxidation of ketones with permanganate ions</t>
  </si>
  <si>
    <t>Jaky et al</t>
  </si>
  <si>
    <t>Hydroxyacetone</t>
  </si>
  <si>
    <t>Butane-2,3-dione</t>
  </si>
  <si>
    <t>The first step of oxidation of alkylbenzenes by permanganates in acidic aqueous solutions</t>
  </si>
  <si>
    <t>Rudakov &amp; Lobachev</t>
  </si>
  <si>
    <t>Benzene</t>
  </si>
  <si>
    <t>1,2,4-Trimethylbenzene (Pseudocumene)</t>
  </si>
  <si>
    <t>1,3,5-Trimethylbenzene (Mesitylene)</t>
  </si>
  <si>
    <t>0.5 M Perchlorate</t>
  </si>
  <si>
    <t>Kinetics and Mechanisms for TCE Oxidation by Permanganate</t>
  </si>
  <si>
    <t>Oxidation of chlorinated ethenes by potassium permanganate: a kinetics study</t>
  </si>
  <si>
    <t>Huang et al</t>
  </si>
  <si>
    <t>GC-FID</t>
  </si>
  <si>
    <t>&gt;10</t>
  </si>
  <si>
    <t>Kinetics of the oxidation of methyl tert-butyl ether (MTBE) by potassium permanganate</t>
  </si>
  <si>
    <t>Damm et al</t>
  </si>
  <si>
    <t>Methyl tert-butyl ether (MTBE)</t>
  </si>
  <si>
    <t>0.015 M Phosphate</t>
  </si>
  <si>
    <t>0.007 to 0.047</t>
  </si>
  <si>
    <t>Carbon Isotope Fractionation during Permanganate Oxidation of Chlorinated Ethylenes (cDCE, TCE, PCE)</t>
  </si>
  <si>
    <t>Poulson &amp; Naraoka</t>
  </si>
  <si>
    <t>GC-MS</t>
  </si>
  <si>
    <t>0.00098 &amp; 0.0015</t>
  </si>
  <si>
    <t>0.0028 &amp; 0.0092</t>
  </si>
  <si>
    <t>Effects of chlorine content and position of chlorinated phenols on their oxidation kinetics by potassium permanganate</t>
  </si>
  <si>
    <t>Zhang et al</t>
  </si>
  <si>
    <t>Unbuffered, pH adjusted with Sulfuric Acid and Sodium Hydroxide</t>
  </si>
  <si>
    <t>4-Chlorophenol</t>
  </si>
  <si>
    <t>2,4-Dichlorophenol</t>
  </si>
  <si>
    <t>2,6-Dichlorophenol</t>
  </si>
  <si>
    <t>Remediating RDX-Contaminated Ground Water with Permanganate: Laboratory Investigations for the Pantex Perched Aquifer</t>
  </si>
  <si>
    <t>Adam et al</t>
  </si>
  <si>
    <t>Hexahydro-1,3,5-trinitro-1,3,5-triazine (RDX)</t>
  </si>
  <si>
    <t>LC-UV</t>
  </si>
  <si>
    <t>8 to 9</t>
  </si>
  <si>
    <t>The kinetics and the mechanism of oxidative decarboxylation of benzilic acid by acidic permanganate (stopped-flow technique) - An autocatalytic study</t>
  </si>
  <si>
    <t>Contaminant</t>
  </si>
  <si>
    <t>Benzilic acid</t>
  </si>
  <si>
    <t>0.005 M Perchlorate</t>
  </si>
  <si>
    <t>0.0004 to 0.004</t>
  </si>
  <si>
    <t>2 to 20</t>
  </si>
  <si>
    <t>Forsey</t>
  </si>
  <si>
    <t>In Situ Chemical Oxidation of Creosote/Coal Tar Residuals Experimental and Numerical Investigation</t>
  </si>
  <si>
    <t>Chrysene</t>
  </si>
  <si>
    <t>Napthalene</t>
  </si>
  <si>
    <t>Phenanthrene</t>
  </si>
  <si>
    <t>Pyrene</t>
  </si>
  <si>
    <t>Acenaphthene</t>
  </si>
  <si>
    <t>Fluorene</t>
  </si>
  <si>
    <t>Carbazole</t>
  </si>
  <si>
    <t>Tert-Butylbenzene</t>
  </si>
  <si>
    <t>Biphenyl</t>
  </si>
  <si>
    <t>Dibenzofuran</t>
  </si>
  <si>
    <t>0.013 to 0.03</t>
  </si>
  <si>
    <t>0.009 to 0.06</t>
  </si>
  <si>
    <t>0.003 to 0.01</t>
  </si>
  <si>
    <t>Fluoranthene</t>
  </si>
  <si>
    <t>0.0006 to 0.013</t>
  </si>
  <si>
    <t>0.003 to 0.009</t>
  </si>
  <si>
    <t>0.044 to 0.09</t>
  </si>
  <si>
    <t>0.004 to 0.01</t>
  </si>
  <si>
    <t>0.03 to 0.09</t>
  </si>
  <si>
    <t>No reaction (Estimate &lt;1.5E-4)</t>
  </si>
  <si>
    <t>No reaction (Estimate &lt;1.6E-4)</t>
  </si>
  <si>
    <t>Kinetics of the oxidation of MCRR by potassium permanganate</t>
  </si>
  <si>
    <t>Chen et al</t>
  </si>
  <si>
    <t>Microcystin-RR</t>
  </si>
  <si>
    <t>0.000032 to 0.000064</t>
  </si>
  <si>
    <t>Kinetics and mechanism of the oxidation of acetylacetone by permanganate ion</t>
  </si>
  <si>
    <t>Acetylacetone</t>
  </si>
  <si>
    <t>Waldemer &amp; Tratnyek</t>
  </si>
  <si>
    <t>Kinetics of contaminant degradation by permanganate</t>
  </si>
  <si>
    <t>Chloroform</t>
  </si>
  <si>
    <t>300 to 500</t>
  </si>
  <si>
    <t>0.03 to 0.05</t>
  </si>
  <si>
    <t>0.1 M Phosphate</t>
  </si>
  <si>
    <t>10 to 40</t>
  </si>
  <si>
    <t>0.003 to 0.012</t>
  </si>
  <si>
    <t>1,4-Dioxane</t>
  </si>
  <si>
    <t>500 to 3000</t>
  </si>
  <si>
    <t>0.05 to 0.3</t>
  </si>
  <si>
    <t>Butan-2-one (MEK)</t>
  </si>
  <si>
    <t>100 to 500</t>
  </si>
  <si>
    <t>0.05 &amp; 0.1 M Phosphate</t>
  </si>
  <si>
    <t>500 &amp; 1000</t>
  </si>
  <si>
    <t>Tert-amyl methyl ether (TAME)</t>
  </si>
  <si>
    <t>0.03 &amp; 0.05</t>
  </si>
  <si>
    <t>300 &amp; 500</t>
  </si>
  <si>
    <t>2,4-Dinitrophenol</t>
  </si>
  <si>
    <t>5 &amp; 10</t>
  </si>
  <si>
    <t>0.0005 &amp; 0.001</t>
  </si>
  <si>
    <t>0.0001 to 0.0005</t>
  </si>
  <si>
    <t>5 to 25</t>
  </si>
  <si>
    <t>20 to 40</t>
  </si>
  <si>
    <t>0.002 to 0.004</t>
  </si>
  <si>
    <t>2,3-Dichloropropene</t>
  </si>
  <si>
    <t>0.001 to 0.003</t>
  </si>
  <si>
    <t>2-Chlorophenol</t>
  </si>
  <si>
    <t>7.5 to 12.5</t>
  </si>
  <si>
    <t>0.00075 to 0.00125</t>
  </si>
  <si>
    <t>3-Chlorophenol</t>
  </si>
  <si>
    <t>10 to 60</t>
  </si>
  <si>
    <t>2,4,6-Trichlorophenol</t>
  </si>
  <si>
    <t>10 to 20</t>
  </si>
  <si>
    <t>0.001 to 0.002</t>
  </si>
  <si>
    <t>Dichlorvos</t>
  </si>
  <si>
    <t>Aldicarb</t>
  </si>
  <si>
    <t>Oxidation of microcystins by permanganate: reaction kinetics and implications for water treatment</t>
  </si>
  <si>
    <t>Rodriguez et al</t>
  </si>
  <si>
    <t>Microcystin-LR</t>
  </si>
  <si>
    <t>0.01 M Phosphate</t>
  </si>
  <si>
    <t>12 to 25</t>
  </si>
  <si>
    <t>0.000029 to 0.000061</t>
  </si>
  <si>
    <t>Microcystin-YR</t>
  </si>
  <si>
    <t>12 to 15</t>
  </si>
  <si>
    <t>0.0000378 to 0.0000755</t>
  </si>
  <si>
    <t>15 to 30</t>
  </si>
  <si>
    <t>Oxidative elimination of cyanotoxins: comparison of ozone, chlorine, chlorine dioxide and permanganate</t>
  </si>
  <si>
    <t>Cylindrospermopsin</t>
  </si>
  <si>
    <t>Anatoxin-a</t>
  </si>
  <si>
    <t>0.00005 to 0.00015</t>
  </si>
  <si>
    <t>15 to 50</t>
  </si>
  <si>
    <t>Kinetics of the oxidation of cylindrospermopsin and anatoxin-a with chlorine, monochloramine and permanganate</t>
  </si>
  <si>
    <t>0.0016 to 0.006</t>
  </si>
  <si>
    <t>275 to 1300</t>
  </si>
  <si>
    <t>S=O</t>
  </si>
  <si>
    <t>He et al</t>
  </si>
  <si>
    <t>Influence of Different Nominal Molecular Weight Fractions of Humic Acids on Phenol Oxidation by Permanganate</t>
  </si>
  <si>
    <t>Hu et al</t>
  </si>
  <si>
    <t>Oxidation of Carbamazepine by Mn(VII) and Fe(VI): Reaction Kinetics and Mechanism</t>
  </si>
  <si>
    <t>Carbamazepine</t>
  </si>
  <si>
    <t>0.025 M Phosphate</t>
  </si>
  <si>
    <t>Oxidation of Triclosan by Permanganate (Mn(VII)): Importance of Ligands and In Situ Formed Manganese Oxides</t>
  </si>
  <si>
    <t>Jiang et al</t>
  </si>
  <si>
    <t>Triclosan</t>
  </si>
  <si>
    <t xml:space="preserve">10 to 25 </t>
  </si>
  <si>
    <t>0.00006 to 0.00015</t>
  </si>
  <si>
    <t>Unbuffered, pH adjusted with Perchloric Acid and Sodium Hydroxide; 0.01 M Ionic Strength with Perchlorate</t>
  </si>
  <si>
    <t>Ding et al</t>
  </si>
  <si>
    <t>Release and Removal of Microcystins from Microcystis during Oxidative-, Physical-, and UV-Based Disinfection</t>
  </si>
  <si>
    <t>Liu et al 2009</t>
  </si>
  <si>
    <t>Kinetics and mechanism for degradation of dichlorvos by permanganate in drinking water treatment</t>
  </si>
  <si>
    <t>10 +</t>
  </si>
  <si>
    <t>Microcystin-LA</t>
  </si>
  <si>
    <t>Microcystin-LF</t>
  </si>
  <si>
    <t>Microcystin-LW</t>
  </si>
  <si>
    <t>LC-MS</t>
  </si>
  <si>
    <t>0.000006 to 0.000012</t>
  </si>
  <si>
    <t>0.000006 to 0.000013</t>
  </si>
  <si>
    <t>0.000006 to 0.000014</t>
  </si>
  <si>
    <t>0.000006 to 0.000015</t>
  </si>
  <si>
    <t>0.000006 to 0.000016</t>
  </si>
  <si>
    <t>0.000006 to 0.000017</t>
  </si>
  <si>
    <t>Oxidation of pharmaceuticals and personal care products by permanganate</t>
  </si>
  <si>
    <t>Gibson</t>
  </si>
  <si>
    <t>Acetaminophen</t>
  </si>
  <si>
    <t>Cefdinir</t>
  </si>
  <si>
    <t>Demeclocycline</t>
  </si>
  <si>
    <t>Levofloxacin</t>
  </si>
  <si>
    <t>Tetracycline</t>
  </si>
  <si>
    <t>Oxytetracycline</t>
  </si>
  <si>
    <t>Bacitracin</t>
  </si>
  <si>
    <t>Chlortetracycline</t>
  </si>
  <si>
    <t>Cephalexin</t>
  </si>
  <si>
    <t>Roxithromycin</t>
  </si>
  <si>
    <t>Ofloxacin</t>
  </si>
  <si>
    <t>Trimethoprim</t>
  </si>
  <si>
    <t>Diclofenac</t>
  </si>
  <si>
    <t>Colistin</t>
  </si>
  <si>
    <t>Enrofloxacin</t>
  </si>
  <si>
    <t>Atenolol</t>
  </si>
  <si>
    <t>Erythromycin</t>
  </si>
  <si>
    <t>Ciprofloxacin</t>
  </si>
  <si>
    <t>Sulfamethazine</t>
  </si>
  <si>
    <t>Atrazine</t>
  </si>
  <si>
    <t>Lomefloxacin</t>
  </si>
  <si>
    <t>Flumequine</t>
  </si>
  <si>
    <t>Norfloxacin</t>
  </si>
  <si>
    <t>Naproxen</t>
  </si>
  <si>
    <t>Ibuprofen</t>
  </si>
  <si>
    <t>Continine</t>
  </si>
  <si>
    <t>Gemfibrozil</t>
  </si>
  <si>
    <t>Dilantin</t>
  </si>
  <si>
    <t>Sulfamethoxazole</t>
  </si>
  <si>
    <t>Pipemidic Acid</t>
  </si>
  <si>
    <t>Caffeine</t>
  </si>
  <si>
    <t>Carbadox</t>
  </si>
  <si>
    <t>Monensin</t>
  </si>
  <si>
    <t>Simetone</t>
  </si>
  <si>
    <t>Metoprolol</t>
  </si>
  <si>
    <t>Estimated, &lt;1.8E-3</t>
  </si>
  <si>
    <t>F x 2</t>
  </si>
  <si>
    <t xml:space="preserve">F </t>
  </si>
  <si>
    <t>Influence of humic acids of different origins on oxidation of phenol and chlorophenols by permanganate</t>
  </si>
  <si>
    <t>Unbuffered, pH controlled but unclear how</t>
  </si>
  <si>
    <t>Oxidation Kinetics of Antibiotics during Water Treatment with Potassium Permanganate</t>
  </si>
  <si>
    <t>Lincomycin</t>
  </si>
  <si>
    <t>0.0002 to 0.0006</t>
  </si>
  <si>
    <t>0.0003 to 0.001</t>
  </si>
  <si>
    <t>200 to 600</t>
  </si>
  <si>
    <t>300 to 1000</t>
  </si>
  <si>
    <t>Role of Ligands in Permanganate Oxidation of Organics</t>
  </si>
  <si>
    <t>Methyl p-tolyl sulfoxide (TMSO)</t>
  </si>
  <si>
    <t>Unbuffered, pH maintained with perchloric acid and sodium hydroxide</t>
  </si>
  <si>
    <t>Shao et al</t>
  </si>
  <si>
    <t>Oxidation of estrone by permanganate: Reaction kinetics and estrogenicity removal</t>
  </si>
  <si>
    <t>Transformation of hexahydro-1,3,5-trinitro-1,3,5-triazine (RDX) by permanganate</t>
  </si>
  <si>
    <t>Chokejaroenrat et al</t>
  </si>
  <si>
    <t>0.004 to 0.084</t>
  </si>
  <si>
    <t>Oxidation of Chlorophenols in Aqueous Solution by Excess Potassium Permanganate</t>
  </si>
  <si>
    <t>Hossain &amp; McLaughlan</t>
  </si>
  <si>
    <t>Parabola-like shaped pH-rate profile for phenols oxidation by aqueous permanganate</t>
  </si>
  <si>
    <t>Du et al</t>
  </si>
  <si>
    <t>2,3-Dichlorophenol</t>
  </si>
  <si>
    <t>Pentachlorophenol</t>
  </si>
  <si>
    <t>3,4-Dichlorophenol</t>
  </si>
  <si>
    <t>Unbuffered, pH controlled with HCl and NaOH; 0.03 M NaCl Background</t>
  </si>
  <si>
    <t>Cl x 5</t>
  </si>
  <si>
    <t>Oxidation of phenolic endocrine disrupting chemicals by potassium permanganate in synthetic and real waters</t>
  </si>
  <si>
    <t>Estrone (E1)</t>
  </si>
  <si>
    <t>17B-Estradiol (E2)</t>
  </si>
  <si>
    <t>Estriol (E3)</t>
  </si>
  <si>
    <t>0.0000015 to 0.00012</t>
  </si>
  <si>
    <t>0.0000015 +</t>
  </si>
  <si>
    <t>LC-Fluorescence</t>
  </si>
  <si>
    <t>Oxidative decomposition of perfluorooctanesulfonate in water by permanganate</t>
  </si>
  <si>
    <t>Liu et al</t>
  </si>
  <si>
    <t>Perfluorooctanesulfonate (PFOS)</t>
  </si>
  <si>
    <t>Degradation of progestagens by oxidation with potassium permanganate in wastewater effluents</t>
  </si>
  <si>
    <t>Fayad et al</t>
  </si>
  <si>
    <t>Levonorgestrel</t>
  </si>
  <si>
    <t>Medroxyprogesterone</t>
  </si>
  <si>
    <t>Norethindrone</t>
  </si>
  <si>
    <t>Progesterone</t>
  </si>
  <si>
    <t>LDTD-APCI-MS</t>
  </si>
  <si>
    <t>0.000017 to 0.000053</t>
  </si>
  <si>
    <t>Rodriguez-Alvarez et al</t>
  </si>
  <si>
    <t>Oxidation of non-steroidal anti-inflammatory drugs with aqueous permanganate</t>
  </si>
  <si>
    <t>Indomethacin</t>
  </si>
  <si>
    <t>Oxidation of bisphenol A by permanganate: reaction kinetics and removal of estrogenic activity</t>
  </si>
  <si>
    <t>Yang et al</t>
  </si>
  <si>
    <t>0.01 M Acetate</t>
  </si>
  <si>
    <t>Simultaneous oxidation of phenol and bisphenol A by permanganate: Synergetic or competitive effect</t>
  </si>
  <si>
    <t>Oxidation of bromophenols and formation of brominated polymeric products of concern during water treatment with potassium permanganate</t>
  </si>
  <si>
    <t>2-Bromophenol</t>
  </si>
  <si>
    <t>3-Bromophenol</t>
  </si>
  <si>
    <t>4-Bromophenol</t>
  </si>
  <si>
    <t>2,4-Dibromophenol</t>
  </si>
  <si>
    <t>2,6-Dibromophenol</t>
  </si>
  <si>
    <t>0.01 M Borate</t>
  </si>
  <si>
    <t>0.000075 to 0.0002</t>
  </si>
  <si>
    <t>15 to 40</t>
  </si>
  <si>
    <t>Evaluation of the kinetic oxidation of aqueous volatile organic compounds by permanganate</t>
  </si>
  <si>
    <t>Mahmoodlu</t>
  </si>
  <si>
    <t>GC-FID &amp; UV-Vis</t>
  </si>
  <si>
    <t>Second order approach</t>
  </si>
  <si>
    <t>N/A</t>
  </si>
  <si>
    <t>4.3 to 7</t>
  </si>
  <si>
    <t>7 to 8.5</t>
  </si>
  <si>
    <t>7 to 7.8</t>
  </si>
  <si>
    <t>Oxidation of flame retardant tetrabromobisphenol a by aqueous permanganate: reaction kinetics, brominated products, and pathways</t>
  </si>
  <si>
    <t>Pang et al</t>
  </si>
  <si>
    <t>Tetrabromobisphenol-A</t>
  </si>
  <si>
    <t>Br x 4</t>
  </si>
  <si>
    <t>"great excess"</t>
  </si>
  <si>
    <t>Cheng et al</t>
  </si>
  <si>
    <t>Permanganate oxidation of diclofenac: The pH-dependent reaction kinetics and a ring-opening mechanism</t>
  </si>
  <si>
    <t>0.0004 to 0.001</t>
  </si>
  <si>
    <t>Liang et al</t>
  </si>
  <si>
    <t>Treatment of TCE-contaminated Groundwater using In Situ Potassium Permanganate Oxidation: Effects and Kinetics Evaluation</t>
  </si>
  <si>
    <t>0.00008 to 0.00016</t>
  </si>
  <si>
    <t>Reactivity of beta-blockers/agonists with aqueous permanganate. Kinetics and transformation products of salbutamol</t>
  </si>
  <si>
    <t>Salbutamol</t>
  </si>
  <si>
    <t>Oxidative degradation of triclosan by potassium permanganate: Kinetics, degradation products, reaction mechanism, and toxicity evaluation</t>
  </si>
  <si>
    <t>Evaluation of the oxidation of enrofloxacin by permanganate and the antimicrobial activity of the products</t>
  </si>
  <si>
    <t>Xu et al</t>
  </si>
  <si>
    <t>50 to 130</t>
  </si>
  <si>
    <t>0.0005 to 0.0013</t>
  </si>
  <si>
    <t>0.02 M Phosphate</t>
  </si>
  <si>
    <t>Gao et al</t>
  </si>
  <si>
    <t>Unrecognized role of bisulfite as Mn(III) stabilizing agent in activating permanganate (Mn(VII)) for enhanced degradation of organic contaminants</t>
  </si>
  <si>
    <t>Bisphenol-S</t>
  </si>
  <si>
    <t>Jeong et al</t>
  </si>
  <si>
    <t>Elimination of microcystin-LR and residual Mn species using permanganate and powdered activated carbon: Oxidation products and pathways</t>
  </si>
  <si>
    <t>0.0000006 to 0.000013</t>
  </si>
  <si>
    <t>LC-UV &amp; ELISA</t>
  </si>
  <si>
    <t>Klajman et al</t>
  </si>
  <si>
    <t>Resolving Discrepancy between Theory and Experiment in 4-Nitrotoluene Oxidation</t>
  </si>
  <si>
    <t>4-Nitrotoluene</t>
  </si>
  <si>
    <t>Impact of humic acid on the degradation of levofloxacin by aqueous permanganate: Kinetics and mechanism</t>
  </si>
  <si>
    <t>0.001 M Phosphate</t>
  </si>
  <si>
    <t>0.00002 to 0.00008</t>
  </si>
  <si>
    <t>50 to 200</t>
  </si>
  <si>
    <t>Kim et al</t>
  </si>
  <si>
    <t>Oxidation of Microcystins by Permanganate: pH and Temperature-Dependent Kinetics, Effect of DOM Characteristics, and Oxidation Mechanism Revisited</t>
  </si>
  <si>
    <t>0.000001 to 0.00001</t>
  </si>
  <si>
    <t>Transformation of Methylparaben by aqueous permanganate in the presence of iodide: Kinetics, modeling, and formation of iodinated aromatic products</t>
  </si>
  <si>
    <t>Li et al</t>
  </si>
  <si>
    <t>Methylparaben</t>
  </si>
  <si>
    <t>4-Hydroxybenzoic Acid</t>
  </si>
  <si>
    <t>0.002 M Borate</t>
  </si>
  <si>
    <t>0.00005 to 0.0003</t>
  </si>
  <si>
    <t>Oxidative degradation of pentachlorophenol by permanganate for ISCO application</t>
  </si>
  <si>
    <t>Matta &amp; Chiron</t>
  </si>
  <si>
    <t>5 to 30</t>
  </si>
  <si>
    <t xml:space="preserve">Unbuffered, pH Adjusted with Perchloric Acid and Sodium Hydroxide </t>
  </si>
  <si>
    <t>Oxidation of Cefalexin by Permanganate: Reaction Kinetics, Mechanism, and Residual Antibacterial Activity</t>
  </si>
  <si>
    <t>Qian et al</t>
  </si>
  <si>
    <t>Oxidative removal of quinclorac by permanganate through a rate-limiting [3 + 2] cycloaddition reaction</t>
  </si>
  <si>
    <t>Song et al</t>
  </si>
  <si>
    <t>Degradation kinetics and transformation products of chlorophene by aqueous permanganate</t>
  </si>
  <si>
    <t>Chlorophene</t>
  </si>
  <si>
    <t>Unbuffered, pH adjusted with HCl and NaOH</t>
  </si>
  <si>
    <t>Sulfadiazine oxidation by permanganate: Kinetics, mechanistic investigation and toxicity evaluation</t>
  </si>
  <si>
    <t>Sulfadiazine</t>
  </si>
  <si>
    <t>5 to 50</t>
  </si>
  <si>
    <t>0.0001 to 0.001</t>
  </si>
  <si>
    <t>Removal of cyanotoxins by potassium permanganate: Incorporating competition from natural water constituents</t>
  </si>
  <si>
    <t>Laszakovits &amp; MacKay</t>
  </si>
  <si>
    <t>0.000001 to 0.000003</t>
  </si>
  <si>
    <t>0.0002 to 0.0004</t>
  </si>
  <si>
    <t>Guanine</t>
  </si>
  <si>
    <t>2900 to 5700</t>
  </si>
  <si>
    <t>0.0001 to 0.0004</t>
  </si>
  <si>
    <t>200 to 800</t>
  </si>
  <si>
    <t>33 to 100</t>
  </si>
  <si>
    <t>Urethane</t>
  </si>
  <si>
    <t>Unreactive, less than 0.01</t>
  </si>
  <si>
    <t>Diethyl phenylene diamine (DPD) oxidation to measure low concentration permanganate in environmental systems</t>
  </si>
  <si>
    <t>Laszakovits et al</t>
  </si>
  <si>
    <t>10 to 50</t>
  </si>
  <si>
    <t>Transformation of bisphenol AF and bisphenol S by permanganate in the absence/presence of iodide: Kinetics and products</t>
  </si>
  <si>
    <t>Bisphenol-AF</t>
  </si>
  <si>
    <t>F x 6</t>
  </si>
  <si>
    <t>20 to 100</t>
  </si>
  <si>
    <t>Oxidation kinetics of anilines by aqueous permanganate and effects of manganese products: Comparison to phenols</t>
  </si>
  <si>
    <t>0.00012 to 0.0003</t>
  </si>
  <si>
    <t>20 to 50</t>
  </si>
  <si>
    <t>2-Chloroaniline</t>
  </si>
  <si>
    <t>4-Methylaniline</t>
  </si>
  <si>
    <t>3-Chloroaniline</t>
  </si>
  <si>
    <t>4-Chloroaniline</t>
  </si>
  <si>
    <t>2-Bromoaniline</t>
  </si>
  <si>
    <t>3-Bromoaniline</t>
  </si>
  <si>
    <t>4-Bromoaniline</t>
  </si>
  <si>
    <t>Permanganate Oxidation of Microcystin-LA: Kinetics, Quantification, and Implications for Effective Drinking Water Treatment</t>
  </si>
  <si>
    <t>Szlag et al</t>
  </si>
  <si>
    <t>Eliminating imidacloprid and its toxicity by permanganate via highly selective partial oxidation</t>
  </si>
  <si>
    <t>Imidacloprid</t>
  </si>
  <si>
    <t>Evaluating perfluorooctanesulfonate oxidation in permanganate systems</t>
  </si>
  <si>
    <t>Park et al</t>
  </si>
  <si>
    <t>Unreactive, less than 0.00033</t>
  </si>
  <si>
    <t>Oxidation of Trichloroethylene: A Comparison of Potassium Permanganate and Fenton's Reagent</t>
  </si>
  <si>
    <t>Vella &amp; Veronda</t>
  </si>
  <si>
    <t>0.00003 to 0.0003</t>
  </si>
  <si>
    <t>0.4 to 4</t>
  </si>
  <si>
    <t>k</t>
  </si>
  <si>
    <t>Unbuferred, pH adjusted but unclear how</t>
  </si>
  <si>
    <t>Application of potassium permanganate as an oxidant for in situ oxidation of trichloroethylene-contaminated groundwater: a laboratory and kinetics study</t>
  </si>
  <si>
    <t>Kao et al</t>
  </si>
  <si>
    <t>0.000008 to 0.00008</t>
  </si>
  <si>
    <t>In Situ Chemical Oxidation with Permanganate: Assessing the Competitive Interactions Between Target and Nontarget Compounds</t>
  </si>
  <si>
    <t>Urynowicz</t>
  </si>
  <si>
    <t>0.0006 to 0.006</t>
  </si>
  <si>
    <t>1,2-Dimethylbenzene (o-Xylene)</t>
  </si>
  <si>
    <t>1,3-Dimethylbenzene (m-Xylene)</t>
  </si>
  <si>
    <t>1,4-Dimethylbenzene (p-Xylene)</t>
  </si>
  <si>
    <t>2,4,6-Trinitrophenol (TNP, Picric acid)</t>
  </si>
  <si>
    <t>1-Methylnaphthalene</t>
  </si>
  <si>
    <t>2-Amine benzodiazol</t>
  </si>
  <si>
    <t>2-Methylnaphthalene</t>
  </si>
  <si>
    <t>2-Methylphenol (o-Cresol)</t>
  </si>
  <si>
    <t>2-Nitroaniline</t>
  </si>
  <si>
    <t>2-Nitrophenol</t>
  </si>
  <si>
    <t>3-Methylphenol (m-Cresol)</t>
  </si>
  <si>
    <t>3-Nitroaniline</t>
  </si>
  <si>
    <t>3-Nitrophenol</t>
  </si>
  <si>
    <t>4-Methylphenol (p-Cresol)</t>
  </si>
  <si>
    <t>4-Nitroaniline</t>
  </si>
  <si>
    <t>4-Nitrophenol</t>
  </si>
  <si>
    <t>4-n-Nonylphenol</t>
  </si>
  <si>
    <t>5-Acetyluracil</t>
  </si>
  <si>
    <t>5-Bromouracil</t>
  </si>
  <si>
    <t>5-Chlorouracil</t>
  </si>
  <si>
    <t>5-Fluorouracil</t>
  </si>
  <si>
    <t>5-Iodouracil</t>
  </si>
  <si>
    <t>5-Methyluracil (Thymine)</t>
  </si>
  <si>
    <t>5-Nitrouracil</t>
  </si>
  <si>
    <t>6-Methyluracil</t>
  </si>
  <si>
    <t>Allyl alcohol</t>
  </si>
  <si>
    <t>Dimethylmaleate (Dianion)</t>
  </si>
  <si>
    <t>Fumarate (Dianion)</t>
  </si>
  <si>
    <t>Maleate (Dianion)</t>
  </si>
  <si>
    <t>Methylfumarate (Dianion)</t>
  </si>
  <si>
    <t>Methylmaleate (Dianion)</t>
  </si>
  <si>
    <t>Tris(2-carboxyethyl)phosphine (TCEP)</t>
  </si>
  <si>
    <t>Total</t>
  </si>
  <si>
    <t>39 &amp; 66</t>
  </si>
  <si>
    <t>39, 66, &amp; 77</t>
  </si>
  <si>
    <t>32, 39, 63, 66, 73, &amp; 77</t>
  </si>
  <si>
    <t>29, 32, 39, 66, &amp; 77</t>
  </si>
  <si>
    <t>32, 39, &amp; 66</t>
  </si>
  <si>
    <t>Kerr, A.</t>
  </si>
  <si>
    <t>2,4,6-Trimethylphenol</t>
  </si>
  <si>
    <t>3-Aminophenol</t>
  </si>
  <si>
    <t>4-Ethylphenol</t>
  </si>
  <si>
    <t>3-Hydroxybenzyl alcohol</t>
  </si>
  <si>
    <t>0.000225 to 0.00045</t>
  </si>
  <si>
    <t>0.0025 to 0.0051</t>
  </si>
  <si>
    <t>0.000075 to 0.00015</t>
  </si>
  <si>
    <t>0.000012 to 0.00003</t>
  </si>
  <si>
    <t>0.000004 to 0.00001</t>
  </si>
  <si>
    <t>38 to 75</t>
  </si>
  <si>
    <t>430 to 855</t>
  </si>
  <si>
    <t>12.5 to 25</t>
  </si>
  <si>
    <t>19 to 38</t>
  </si>
  <si>
    <t>13 to 33</t>
  </si>
  <si>
    <t>Isopropylbenzene (Cumene)</t>
  </si>
  <si>
    <t>Alkyl</t>
  </si>
  <si>
    <t>Mono</t>
  </si>
  <si>
    <t>Cis</t>
  </si>
  <si>
    <t>Trans</t>
  </si>
  <si>
    <t>Tri</t>
  </si>
  <si>
    <t>Benzylic C-H</t>
  </si>
  <si>
    <t>2.5 to 10</t>
  </si>
  <si>
    <t>1.25 to 10</t>
  </si>
  <si>
    <t>2.5 to 15</t>
  </si>
  <si>
    <t>843 to 1763</t>
  </si>
  <si>
    <t>2203 to 14688</t>
  </si>
  <si>
    <t>1527 to 10156</t>
  </si>
  <si>
    <t>23156 to 54030</t>
  </si>
  <si>
    <t>1308 to 3556</t>
  </si>
  <si>
    <t>530 to 11724</t>
  </si>
  <si>
    <t>8097 to 22302</t>
  </si>
  <si>
    <t>927 to 1920</t>
  </si>
  <si>
    <t>940 to 1948</t>
  </si>
  <si>
    <t>981 to 2033</t>
  </si>
  <si>
    <t>1963 to 13052</t>
  </si>
  <si>
    <t>1775 to 11800</t>
  </si>
  <si>
    <t>1186 to 3225</t>
  </si>
  <si>
    <t>1279 to 3478</t>
  </si>
  <si>
    <t>1081 to 2238</t>
  </si>
  <si>
    <t>7589 to 22321</t>
  </si>
  <si>
    <t>8167 to 24020</t>
  </si>
  <si>
    <t>1.25 to 2.53</t>
  </si>
  <si>
    <t>1.25 to 10.0</t>
  </si>
  <si>
    <t>0.000025 to 0.000075</t>
  </si>
  <si>
    <t>This work</t>
  </si>
  <si>
    <t>Kinetic Study of Oxidation of Trichloroethylene by Potassium Permanganate</t>
  </si>
  <si>
    <t>0.0016 to 0.0063</t>
  </si>
  <si>
    <t>10 to 33</t>
  </si>
  <si>
    <t>Hunkeler et al.</t>
  </si>
  <si>
    <t>Monitoring Oxidation of Chlorinated Ethenes by Permanganate in Groundwater Using Stable Isotopes: Laboratory and Field Studies</t>
  </si>
  <si>
    <t>Dai &amp; Reitsma</t>
  </si>
  <si>
    <t>Kinetic study of permanganate oxidation of tetrachloroethylene at pH 10.60±0.1</t>
  </si>
  <si>
    <t>Trichloroethene (TCE)</t>
  </si>
  <si>
    <t>Tetrachloroethene (PCE)</t>
  </si>
  <si>
    <t>cis-Dichloroethene (cis-DCE)</t>
  </si>
  <si>
    <t>1,1-Dichloroethene (1,1-DCE)</t>
  </si>
  <si>
    <t>trans-Dichloroethene (trans-DCE)</t>
  </si>
  <si>
    <t>0.25 M Phosphate</t>
  </si>
  <si>
    <t>0.0004 to 0.0026</t>
  </si>
  <si>
    <t>1 to 6.5</t>
  </si>
  <si>
    <t>1.25 to 7.5</t>
  </si>
  <si>
    <t>1.25 to 5</t>
  </si>
  <si>
    <t>6.8 to 20.5</t>
  </si>
  <si>
    <t>0.000002 to 0.000006</t>
  </si>
  <si>
    <t>SPME-GC-MS</t>
  </si>
  <si>
    <t>Competition kinetics</t>
  </si>
  <si>
    <t>Studies on the degradation of trace phenol and indole odorants by chlorine and permanganate in drinking water treatment</t>
  </si>
  <si>
    <t>Indole</t>
  </si>
  <si>
    <t>3-Methylindole</t>
  </si>
  <si>
    <t>Zhou et al</t>
  </si>
  <si>
    <t>Unrecognized role of humic acid as a reductant in accelerating fluoroquinolones oxidation by aqueous permanganate</t>
  </si>
  <si>
    <t>Cao et al</t>
  </si>
  <si>
    <t>Oxidation of benzophenone-3 in aqueous solution by potassium permanganate: kinetics, degradation products, reaction pathways, and toxicity assessment</t>
  </si>
  <si>
    <t>Benzophenone-3</t>
  </si>
  <si>
    <t>Background</t>
  </si>
  <si>
    <t>0.0005 to 0.004</t>
  </si>
  <si>
    <t>0.005 to 0.01</t>
  </si>
  <si>
    <t>Pyruvate (Anion)</t>
  </si>
  <si>
    <t>Lactate (Anion)</t>
  </si>
  <si>
    <t>Acrylate (Anion)</t>
  </si>
  <si>
    <t>Crotonate (Anion)</t>
  </si>
  <si>
    <t>Vinylacetate (Anion)</t>
  </si>
  <si>
    <t>4-Bromocrotonate (Anion)</t>
  </si>
  <si>
    <t>2-Pentenoate (Anion)</t>
  </si>
  <si>
    <t>3-Pentenoate (Anion)</t>
  </si>
  <si>
    <t>4-Pentenoate (Anion)</t>
  </si>
  <si>
    <t>Cinnamate (Anion)</t>
  </si>
  <si>
    <t>4-Methylcinnamate (Anion)</t>
  </si>
  <si>
    <t>4-Methoxycinnamate (Anion)</t>
  </si>
  <si>
    <t>Oleate (Anion)</t>
  </si>
  <si>
    <t>Organic; derived rate constants for each ionic species</t>
  </si>
  <si>
    <t>Succinate Buffer; 1.5 M Sodium perchlorate</t>
  </si>
  <si>
    <t>1.5 M Sodium Perchlorate</t>
  </si>
  <si>
    <t>0.1 M Perchloric Acid</t>
  </si>
  <si>
    <t>&gt;5.2</t>
  </si>
  <si>
    <t>&gt;6.3</t>
  </si>
  <si>
    <t>&gt;6</t>
  </si>
  <si>
    <t>Unknown Buffer; 0.02 M KCl for ionic strength</t>
  </si>
  <si>
    <t>Propiolate (Anion)</t>
  </si>
  <si>
    <t>Phenylpropiolate (Anion)</t>
  </si>
  <si>
    <t>6.7 to 20</t>
  </si>
  <si>
    <t>&gt;4.9</t>
  </si>
  <si>
    <t>&gt;5.4</t>
  </si>
  <si>
    <t>Silicate Solution (unknown concentration)</t>
  </si>
  <si>
    <t>Phosphate and Carbonate (uknown concentrations)</t>
  </si>
  <si>
    <t>9.67 to 96.7</t>
  </si>
  <si>
    <t>GC</t>
  </si>
  <si>
    <t>Kinetics kinetic isotope effects and substrate selectivity of alkyl benzole oxidation in permangonate aqueous solutions. 4.Activation parameters of reactions with MnO4 anions</t>
  </si>
  <si>
    <t>Rudakov et al</t>
  </si>
  <si>
    <t>5 to 7</t>
  </si>
  <si>
    <t>4.7 to 15</t>
  </si>
  <si>
    <t>Phosphate Buffer (Unknown concentration)</t>
  </si>
  <si>
    <t>GC-ECD-&amp;-FID</t>
  </si>
  <si>
    <t>0.1 M Sodium Perchlorate</t>
  </si>
  <si>
    <t>12.3 to 48.5</t>
  </si>
  <si>
    <t>16 to 52.5</t>
  </si>
  <si>
    <t>0.0008 to 0.0032</t>
  </si>
  <si>
    <t>11.4 to 22.8</t>
  </si>
  <si>
    <t>11.4 to 29</t>
  </si>
  <si>
    <t>16 to 29</t>
  </si>
  <si>
    <t>4.9 to 34</t>
  </si>
  <si>
    <t>9.3 &amp; 30</t>
  </si>
  <si>
    <t>2.6 &amp; 4</t>
  </si>
  <si>
    <t>Farokhi &amp; Nandibewoor</t>
  </si>
  <si>
    <t>7.5 to 23.3</t>
  </si>
  <si>
    <t>2M Perchlorate</t>
  </si>
  <si>
    <t>0.0000063 to 0.0000506</t>
  </si>
  <si>
    <t>4 to 32</t>
  </si>
  <si>
    <t>0.001 M Carbonate or Phosphate</t>
  </si>
  <si>
    <t>46.6 to 934</t>
  </si>
  <si>
    <t>2,4,6-Trinitrotoluene (TNT)</t>
  </si>
  <si>
    <t>Unbuffered, pH measured</t>
  </si>
  <si>
    <t>5,6,7,8-tetrahydro-2-napthol</t>
  </si>
  <si>
    <t>5.4 to 19.3</t>
  </si>
  <si>
    <t>0.051 M Phosphate, 0.28 mM Chloride</t>
  </si>
  <si>
    <t>Bisphenol-A (BPA)</t>
  </si>
  <si>
    <t>6.3 to 127</t>
  </si>
  <si>
    <t>5.5 to 33</t>
  </si>
  <si>
    <t>5 to 9</t>
  </si>
  <si>
    <t>0.05 M Acetate  or 0.05 M Borate</t>
  </si>
  <si>
    <t>Quinclorac (Anion)</t>
  </si>
  <si>
    <t>100+</t>
  </si>
  <si>
    <t>33 to 133</t>
  </si>
  <si>
    <t>Ammonium Carbonate Buffered (Unknown Concentration)</t>
  </si>
  <si>
    <t>0.05 M Acetate or Borate, 0.1 M Perchlorate Background Electrolye</t>
  </si>
  <si>
    <t>0 to 0.1 M Phosphate</t>
  </si>
  <si>
    <t>15 to 22</t>
  </si>
  <si>
    <t>0.0013 to 0.032</t>
  </si>
  <si>
    <t>215 to 5306</t>
  </si>
  <si>
    <t>0.01 M Carbonate</t>
  </si>
  <si>
    <t>5 to 10</t>
  </si>
  <si>
    <t>0.01 M Acetate or Borate</t>
  </si>
  <si>
    <t>k#</t>
  </si>
  <si>
    <t xml:space="preserve">Oxygen-Containing </t>
  </si>
  <si>
    <t>Sulfur-Containing</t>
  </si>
  <si>
    <t>Nitrogen-Containing</t>
  </si>
  <si>
    <t>Carbon</t>
  </si>
  <si>
    <t>R-S-R/H</t>
  </si>
  <si>
    <t>O3-P=O</t>
  </si>
  <si>
    <t>Functional Groups in Each Compound</t>
  </si>
  <si>
    <t>7 to 7.1</t>
  </si>
  <si>
    <t>Phosphate Buffer</t>
  </si>
  <si>
    <t>17 &amp; 22</t>
  </si>
  <si>
    <t>Borate</t>
  </si>
  <si>
    <t>54 &amp; 67</t>
  </si>
  <si>
    <t>41, 46, &amp; 47</t>
  </si>
  <si>
    <t>5.3 to 7</t>
  </si>
  <si>
    <t>19 to 25</t>
  </si>
  <si>
    <t>6.8 to 7</t>
  </si>
  <si>
    <t>25 to 35</t>
  </si>
  <si>
    <t>Buffered</t>
  </si>
  <si>
    <t>8 &amp; 31</t>
  </si>
  <si>
    <t>23 to 25</t>
  </si>
  <si>
    <t>Unbuffered, pH controlled</t>
  </si>
  <si>
    <t>37 &amp; 47</t>
  </si>
  <si>
    <t>7 to 7.2</t>
  </si>
  <si>
    <t>16 to 25</t>
  </si>
  <si>
    <t>25 &amp; 47</t>
  </si>
  <si>
    <t>3-Methoxycinnamate (Anion)</t>
  </si>
  <si>
    <t>4-Chlorocinnamate (Anion)</t>
  </si>
  <si>
    <t>3-Chlorocinnamate (Anion)</t>
  </si>
  <si>
    <t>3-Bromocinnamate (Anion)</t>
  </si>
  <si>
    <t>3-Trifluoromethylcinnamate (Anion)</t>
  </si>
  <si>
    <t>3-Nitrocinnamate (Anion)</t>
  </si>
  <si>
    <t>4-Nitrocinnamate (Anion)</t>
  </si>
  <si>
    <t>Unbuffered &amp; Borate</t>
  </si>
  <si>
    <t>48 &amp; 67</t>
  </si>
  <si>
    <t>5.3 to 6.8</t>
  </si>
  <si>
    <t>23 to 35</t>
  </si>
  <si>
    <t>8 &amp; 83</t>
  </si>
  <si>
    <t>Unbuffered/Borate</t>
  </si>
  <si>
    <t>43 &amp; 67</t>
  </si>
  <si>
    <t>4.8 to 7</t>
  </si>
  <si>
    <t>Phosphate or Perchlorate</t>
  </si>
  <si>
    <t>19 &amp; 31</t>
  </si>
  <si>
    <t>6 to 7</t>
  </si>
  <si>
    <t>36, 40, &amp; 43</t>
  </si>
  <si>
    <t>40, 42, &amp; 88</t>
  </si>
  <si>
    <t>Phosphate &amp; Acetate</t>
  </si>
  <si>
    <t>Unbuffered &amp; Phosphate</t>
  </si>
  <si>
    <t>17, 22, 24, &amp; 31</t>
  </si>
  <si>
    <t>20 to 25</t>
  </si>
  <si>
    <t>5.6 to 7.1</t>
  </si>
  <si>
    <t>20 to 23</t>
  </si>
  <si>
    <t>34 &amp; 73</t>
  </si>
  <si>
    <t>Phosphate</t>
  </si>
  <si>
    <t>31 &amp; 38</t>
  </si>
  <si>
    <t>40, 51, &amp; 57</t>
  </si>
  <si>
    <t>21 to 25</t>
  </si>
  <si>
    <t>61 &amp; 88</t>
  </si>
  <si>
    <t>4.6 to 7.8</t>
  </si>
  <si>
    <t>Acetate</t>
  </si>
  <si>
    <t>3 &amp; 55</t>
  </si>
  <si>
    <t>5.6 to 7</t>
  </si>
  <si>
    <t>14 &amp; 28</t>
  </si>
  <si>
    <t>26 &amp; 45</t>
  </si>
  <si>
    <t>7 to 7.6</t>
  </si>
  <si>
    <t>23 &amp; 31</t>
  </si>
  <si>
    <t>6.8 to 7.6</t>
  </si>
  <si>
    <t>18 to 22</t>
  </si>
  <si>
    <t>Ammonium Carbonate &amp; Phosphate</t>
  </si>
  <si>
    <t>7.2 to 7.6</t>
  </si>
  <si>
    <t>5.6 to 7.6</t>
  </si>
  <si>
    <t>18 to 23</t>
  </si>
  <si>
    <t>Ammonium Carbonate, Phosphate, &amp; Unbuffered</t>
  </si>
  <si>
    <t>6.7 to 7.6</t>
  </si>
  <si>
    <t>18 to 25</t>
  </si>
  <si>
    <t>Unbuffered pH controlled &amp; Borate</t>
  </si>
  <si>
    <t>74 &amp; 83</t>
  </si>
  <si>
    <t>35, 37, 41, 47 &amp; 67</t>
  </si>
  <si>
    <t>17, 18, 22, 24 &amp; 31</t>
  </si>
  <si>
    <t>5.6 to 11</t>
  </si>
  <si>
    <t>Unbuffered, Phosphate, Carbonate, Perchlorate</t>
  </si>
  <si>
    <t>13, 14, 28, 31, 55, &amp; 90</t>
  </si>
  <si>
    <t>17, 22, &amp; 31</t>
  </si>
  <si>
    <t>16, 17, 21, 22, 24, 31, 55, 58, 80, 81, 82, 84, &amp; 85</t>
  </si>
  <si>
    <t>37, 60, &amp; 67</t>
  </si>
  <si>
    <t>Paper</t>
  </si>
  <si>
    <t>Higher when pH controlled with sulfuric acid (compared to hydrochloric acid, 2.3x)</t>
  </si>
  <si>
    <t>Higher in 50 mM phosphate buffer than unbuffered (4.1x)</t>
  </si>
  <si>
    <t>Lower at lower pH (5.3 vs. 7, 5.0x)</t>
  </si>
  <si>
    <t>Higher in 50 mM phosphate buffer than unbuffered (7.5x)</t>
  </si>
  <si>
    <t>Higher in 50 mM phosphate buffer than unbuffered or pH controlled with hydrochloric acid (8.3x)</t>
  </si>
  <si>
    <t>Lower at lower pH (5.3 vs. 7, 2.9x)</t>
  </si>
  <si>
    <t>Higher in 20 mM phosphate than pH controlled (9.4x)</t>
  </si>
  <si>
    <t>Lower at lower pH (5.3 vs. 7, 2.2x)</t>
  </si>
  <si>
    <t>Higher in 50 mM phosphate buffer than pH controlled (6.3x)</t>
  </si>
  <si>
    <t>Higher in 20 mM phosphate than 2 mM borate buffer (2.9x)</t>
  </si>
  <si>
    <t>Higher in 50 mM phosphate buffer than 2 mM borate buffer (4.2x)</t>
  </si>
  <si>
    <t>Lower at higher pH (13 vs. 11.3, 2.2x)</t>
  </si>
  <si>
    <t>Lower at lower pH (5.3 vs. 7, 2.0x)</t>
  </si>
  <si>
    <t>Higher when pH controlled with sulfuric acid (compared to hydrochloric acid, 7.1x)</t>
  </si>
  <si>
    <t>Lower at lower temperature (expected)</t>
  </si>
  <si>
    <t>Higher in 50 mM phosphate buffer than 2 mM borate buffer (2.9x)</t>
  </si>
  <si>
    <t>Higher at higher pH (4.8 vs. 13, 8153x)</t>
  </si>
  <si>
    <t>Reaction rate constant not measurable</t>
  </si>
  <si>
    <t>Higher at higher pH (7 vs 7.5) and higher concentration buffer (2 vs 10 mM) (3.7x)</t>
  </si>
  <si>
    <t>Higher at higher pH (7 vs 7.5) and higher concentration buffer (2 vs 10 mM) (4.0x)</t>
  </si>
  <si>
    <t>Higher in 50 mM phosphate buffer than unbuffered or 2 mM borate buffer (3.7x)</t>
  </si>
  <si>
    <t>Higher at higher pH (11.3 vs. 6.5, 1.5x)</t>
  </si>
  <si>
    <t>Higher in 50 mM phosphate buffer than 10 mM phosphate buffer (2.4x)</t>
  </si>
  <si>
    <t>Higher in 50 mM phosphate buffer than 20 mM phosphate buffer and 10 mM acetate/borate (2.3x)</t>
  </si>
  <si>
    <t>Lower at lower pH (5.3 vs. 7, 1.9x)</t>
  </si>
  <si>
    <t>Higher at higher temperature</t>
  </si>
  <si>
    <t>Lower at higher pH (7 vs. 7.5, 17.9x)</t>
  </si>
  <si>
    <t>Lower at lower pH (5.6 vs. 7, 3.4x)</t>
  </si>
  <si>
    <t>Unclear why this value is significantly lower</t>
  </si>
  <si>
    <t>Higher at higher pH (7 vs 7.5, 4.0x)</t>
  </si>
  <si>
    <t>Higher when pH controlled with sulfuric acid compared to hydrochloric acid and borate buffer (6.5x)</t>
  </si>
  <si>
    <t>Lower at higher pH (10.6 vs. 5.6 to 7.1, 2.4x)</t>
  </si>
  <si>
    <t>Lower, kinetics experiments conducted in environmental waters (4.8x)</t>
  </si>
  <si>
    <t>Lower, kinetics experiments conducted in environmental waters (3.6x)</t>
  </si>
  <si>
    <t>Unbuffered and Borate</t>
  </si>
  <si>
    <t>Higher in 50 mM phosphate buffer than 2 mM borate buffer or pH controlled with hydrochloric acid (2.1x)</t>
  </si>
  <si>
    <t>Higher in 50 mM phosphate buffer than 25 mM phosphate buffer (1.7x)</t>
  </si>
  <si>
    <t>1,1-</t>
  </si>
  <si>
    <t>Nitrogen</t>
  </si>
  <si>
    <t>Oxygen</t>
  </si>
  <si>
    <t>133x higher, unclear why</t>
  </si>
  <si>
    <t>Baseline</t>
  </si>
  <si>
    <t>Strongly Deactivating: Cyano, Nitro</t>
  </si>
  <si>
    <t>Deactivating: Halogens, Carbonyl/Carboxylic Acid</t>
  </si>
  <si>
    <t>Activating: Alkyl, Aromatic Ring, Amide, Hydroxyl, Ester</t>
  </si>
  <si>
    <t>Strongly Activating: Amine, Alkoxide, Ether</t>
  </si>
  <si>
    <t>Aromatic Ring</t>
  </si>
  <si>
    <t>None</t>
  </si>
  <si>
    <t>Alkene</t>
  </si>
  <si>
    <t>Average</t>
  </si>
  <si>
    <t>Error (1/Ms)</t>
  </si>
  <si>
    <t>Leucine in Position 2</t>
  </si>
  <si>
    <t>Hydropathy</t>
  </si>
  <si>
    <t>Hydrophobicity Index</t>
  </si>
  <si>
    <t>Charge</t>
  </si>
  <si>
    <t>pK-R</t>
  </si>
  <si>
    <t>Residue Weight</t>
  </si>
  <si>
    <t>Turn Forming</t>
  </si>
  <si>
    <t>Polarizability</t>
  </si>
  <si>
    <t>σI</t>
  </si>
  <si>
    <t>De/Activating</t>
  </si>
  <si>
    <t>Alanine</t>
  </si>
  <si>
    <t>Hydrophobic</t>
  </si>
  <si>
    <t>N</t>
  </si>
  <si>
    <t>Weak</t>
  </si>
  <si>
    <t>Weak Activating</t>
  </si>
  <si>
    <t>Phenylalanine</t>
  </si>
  <si>
    <t>Tryptophan</t>
  </si>
  <si>
    <t>Moderate</t>
  </si>
  <si>
    <t>Moderate Activating</t>
  </si>
  <si>
    <t>Arginine</t>
  </si>
  <si>
    <t>Hydrophilic</t>
  </si>
  <si>
    <t>+</t>
  </si>
  <si>
    <t>Strong Activating</t>
  </si>
  <si>
    <t>Amino Acid (Position 4)</t>
  </si>
  <si>
    <t>Arginine in Position 4</t>
  </si>
  <si>
    <t>Leucine</t>
  </si>
  <si>
    <t>Tyrosine</t>
  </si>
  <si>
    <t>Amino Acid (Position 2)</t>
  </si>
  <si>
    <t>Source</t>
  </si>
  <si>
    <t>Thermo</t>
  </si>
  <si>
    <t>Sigma-Aldrich</t>
  </si>
  <si>
    <t>peptide.com</t>
  </si>
  <si>
    <t>Dwyer</t>
  </si>
  <si>
    <t>Inductive effects</t>
  </si>
  <si>
    <t>Master Orgo</t>
  </si>
  <si>
    <t>Ratio low</t>
  </si>
  <si>
    <t>Ratio high</t>
  </si>
  <si>
    <t>Ratio average</t>
  </si>
  <si>
    <t>Error</t>
  </si>
  <si>
    <t>2-chlorophenol</t>
  </si>
  <si>
    <t>Reaction Site</t>
  </si>
  <si>
    <t>Activating</t>
  </si>
  <si>
    <t>Deactivating</t>
  </si>
  <si>
    <t>Substituents</t>
  </si>
  <si>
    <t>Strongly Deactivating</t>
  </si>
  <si>
    <t>Strongly Activating</t>
  </si>
  <si>
    <t>Sorbic Acid (Anion)</t>
  </si>
  <si>
    <t>Laszakovits et al.</t>
  </si>
  <si>
    <t>Permanganate Oxidation of Organic Contaminants &amp; Model Compounds</t>
  </si>
  <si>
    <t>Paper Information</t>
  </si>
  <si>
    <t>Method</t>
  </si>
  <si>
    <t>Reference Information</t>
  </si>
  <si>
    <t>In this tab, you will find all reaction rate constants that were compiled as part of this work.</t>
  </si>
  <si>
    <t>In this tab, you will find how the reaction rate constants were averaged for some compounds and outliers are noted.</t>
  </si>
  <si>
    <t>All values presented in Table 1 are summarized here.</t>
  </si>
  <si>
    <t>Paper #</t>
  </si>
  <si>
    <t>Ring</t>
  </si>
  <si>
    <t xml:space="preserve">In this tab, all model compound initially considered in our analysis. We only considered values collected at neutral pH. </t>
  </si>
  <si>
    <t>Substituent classifications</t>
  </si>
  <si>
    <t>Tetra</t>
  </si>
  <si>
    <t>Alkene Substitution</t>
  </si>
  <si>
    <t>Deactivating &amp; lone pairs: Halogens and carbonyl</t>
  </si>
  <si>
    <t>Deactivating: Cyano and nitro</t>
  </si>
  <si>
    <t>Activating &amp; lone pairs: Hydroxy, amine and deprotonated carboxylic acid</t>
  </si>
  <si>
    <t>Activating: Alkyl and hydroxyl</t>
  </si>
  <si>
    <t>In this tab, all alkenes found in Figure 1 can be found along with their substituent classifications.</t>
  </si>
  <si>
    <t>Baseline (None)</t>
  </si>
  <si>
    <t>Other Possible Reaction Sites</t>
  </si>
  <si>
    <t>In this tab, all phenols found in Figure 1 can be found along with their substituent classifications.</t>
  </si>
  <si>
    <t>In this tab, all anilines found in Figure 1 can be found along with their substituent classifications.</t>
  </si>
  <si>
    <t>Baseline (none)</t>
  </si>
  <si>
    <t>In this tab, all contaminants and their reaction site classifications included in Figure 4 can be found</t>
  </si>
  <si>
    <t>Reaction sites were determined first based on known product distributions then based on the highest reactivity site present</t>
  </si>
  <si>
    <t>In this tab, microcystin data presented in Figure 6 along with other characterization data can be found.</t>
  </si>
  <si>
    <t>Analysis of pseudo first order conditions can be found here. Figures showing average reactant ratio against reaction rate constant are found to the right in the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</si>
</sst>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"/>
    <numFmt numFmtId="166" formatCode="0.000"/>
    <numFmt numFmtId="167" formatCode="0.0000"/>
    <numFmt numFmtId="168" formatCode="0.0000000"/>
    <numFmt numFmtId="169" formatCode="0.0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i/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sz val="9"/>
      <color rgb="FF000000"/>
      <name val="Tahoma"/>
      <family val="2"/>
    </font>
    <font>
      <sz val="11"/>
      <color rgb="FFFF0000"/>
      <name val="Arial"/>
      <family val="2"/>
    </font>
    <font>
      <b/>
      <i/>
      <sz val="11"/>
      <color theme="1"/>
      <name val="Arial"/>
      <family val="2"/>
    </font>
    <font>
      <sz val="10"/>
      <color rgb="FF000000"/>
      <name val="Arial"/>
      <family val="34"/>
    </font>
    <font>
      <sz val="9"/>
      <color rgb="FF000000"/>
      <name val="Arial"/>
      <family val="34"/>
    </font>
    <font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  <xf numFmtId="0" fontId="1" fillId="0" borderId="4" xfId="0" applyFont="1" applyBorder="1"/>
    <xf numFmtId="0" fontId="1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9" xfId="0" applyFont="1" applyBorder="1" applyAlignment="1">
      <alignment horizontal="center"/>
    </xf>
    <xf numFmtId="0" fontId="1" fillId="0" borderId="11" xfId="0" applyFont="1" applyBorder="1"/>
    <xf numFmtId="0" fontId="2" fillId="0" borderId="0" xfId="0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/>
    <xf numFmtId="1" fontId="1" fillId="0" borderId="0" xfId="0" applyNumberFormat="1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1" fontId="1" fillId="0" borderId="0" xfId="0" applyNumberFormat="1" applyFont="1"/>
    <xf numFmtId="11" fontId="1" fillId="0" borderId="1" xfId="0" applyNumberFormat="1" applyFont="1" applyBorder="1"/>
    <xf numFmtId="1" fontId="1" fillId="0" borderId="6" xfId="0" applyNumberFormat="1" applyFont="1" applyBorder="1" applyAlignment="1">
      <alignment horizontal="center"/>
    </xf>
    <xf numFmtId="169" fontId="1" fillId="0" borderId="0" xfId="0" applyNumberFormat="1" applyFont="1"/>
    <xf numFmtId="0" fontId="5" fillId="0" borderId="1" xfId="0" applyFont="1" applyBorder="1"/>
    <xf numFmtId="16" fontId="1" fillId="0" borderId="1" xfId="0" applyNumberFormat="1" applyFont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0" fontId="2" fillId="0" borderId="6" xfId="0" applyFont="1" applyBorder="1"/>
    <xf numFmtId="0" fontId="1" fillId="0" borderId="6" xfId="0" applyFont="1" applyBorder="1"/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0" borderId="2" xfId="0" applyNumberFormat="1" applyFont="1" applyBorder="1"/>
    <xf numFmtId="1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1" fontId="4" fillId="0" borderId="2" xfId="0" applyNumberFormat="1" applyFont="1" applyBorder="1" applyAlignment="1">
      <alignment horizontal="center"/>
    </xf>
    <xf numFmtId="11" fontId="4" fillId="0" borderId="2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1" fontId="4" fillId="0" borderId="0" xfId="0" applyNumberFormat="1" applyFont="1" applyAlignment="1">
      <alignment horizontal="center"/>
    </xf>
    <xf numFmtId="0" fontId="1" fillId="0" borderId="7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1" fontId="1" fillId="0" borderId="7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10" xfId="0" applyFont="1" applyBorder="1"/>
    <xf numFmtId="165" fontId="1" fillId="0" borderId="3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2" fontId="1" fillId="0" borderId="0" xfId="0" applyNumberFormat="1" applyFont="1"/>
    <xf numFmtId="164" fontId="1" fillId="0" borderId="0" xfId="0" applyNumberFormat="1" applyFont="1" applyAlignment="1">
      <alignment horizontal="center"/>
    </xf>
    <xf numFmtId="1" fontId="4" fillId="0" borderId="7" xfId="0" applyNumberFormat="1" applyFont="1" applyBorder="1" applyAlignment="1">
      <alignment horizontal="center"/>
    </xf>
    <xf numFmtId="166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left"/>
    </xf>
    <xf numFmtId="1" fontId="4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13" fillId="0" borderId="0" xfId="0" applyFont="1"/>
    <xf numFmtId="0" fontId="2" fillId="0" borderId="9" xfId="0" applyFont="1" applyBorder="1"/>
    <xf numFmtId="0" fontId="2" fillId="0" borderId="1" xfId="0" applyFont="1" applyBorder="1" applyAlignment="1">
      <alignment vertical="center"/>
    </xf>
    <xf numFmtId="0" fontId="2" fillId="0" borderId="3" xfId="0" applyFont="1" applyBorder="1"/>
    <xf numFmtId="0" fontId="2" fillId="0" borderId="5" xfId="0" applyFont="1" applyBorder="1"/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/>
    <xf numFmtId="0" fontId="5" fillId="0" borderId="0" xfId="0" applyFont="1"/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0" fillId="0" borderId="4" xfId="0" applyFont="1" applyBorder="1" applyAlignment="1">
      <alignment horizontal="right"/>
    </xf>
    <xf numFmtId="1" fontId="10" fillId="0" borderId="3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7" xfId="0" applyFont="1" applyBorder="1"/>
    <xf numFmtId="0" fontId="2" fillId="0" borderId="8" xfId="0" applyFont="1" applyBorder="1"/>
    <xf numFmtId="1" fontId="1" fillId="0" borderId="3" xfId="0" applyNumberFormat="1" applyFont="1" applyBorder="1"/>
    <xf numFmtId="165" fontId="1" fillId="0" borderId="3" xfId="0" applyNumberFormat="1" applyFont="1" applyBorder="1"/>
    <xf numFmtId="0" fontId="1" fillId="0" borderId="9" xfId="0" applyFont="1" applyBorder="1"/>
    <xf numFmtId="1" fontId="1" fillId="0" borderId="9" xfId="0" applyNumberFormat="1" applyFont="1" applyBorder="1"/>
    <xf numFmtId="165" fontId="1" fillId="0" borderId="9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DA65"/>
      <color rgb="FF99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2-Chlorophenol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'Pseudo First Order Conditions'!$M$3:$M$6</c:f>
              <c:numCache>
                <c:formatCode>0</c:formatCode>
                <c:ptCount val="4"/>
                <c:pt idx="0" formatCode="General">
                  <c:v>7.5</c:v>
                </c:pt>
                <c:pt idx="1">
                  <c:v>5</c:v>
                </c:pt>
                <c:pt idx="2">
                  <c:v>9.4</c:v>
                </c:pt>
                <c:pt idx="3">
                  <c:v>10</c:v>
                </c:pt>
              </c:numCache>
            </c:numRef>
          </c:xVal>
          <c:yVal>
            <c:numRef>
              <c:f>'Pseudo First Order Conditions'!$P$3:$P$6</c:f>
              <c:numCache>
                <c:formatCode>0.0</c:formatCode>
                <c:ptCount val="4"/>
                <c:pt idx="0">
                  <c:v>74</c:v>
                </c:pt>
                <c:pt idx="1">
                  <c:v>13.58</c:v>
                </c:pt>
                <c:pt idx="2">
                  <c:v>16.2</c:v>
                </c:pt>
                <c:pt idx="3">
                  <c:v>24.1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97-9748-AA6F-CFD471FF590F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Conditions'!$M$3:$M$6</c:f>
              <c:numCache>
                <c:formatCode>0</c:formatCode>
                <c:ptCount val="4"/>
                <c:pt idx="0" formatCode="General">
                  <c:v>7.5</c:v>
                </c:pt>
                <c:pt idx="1">
                  <c:v>5</c:v>
                </c:pt>
                <c:pt idx="2">
                  <c:v>9.4</c:v>
                </c:pt>
                <c:pt idx="3">
                  <c:v>10</c:v>
                </c:pt>
              </c:numCache>
            </c:numRef>
          </c:xVal>
          <c:yVal>
            <c:numRef>
              <c:f>'Pseudo First Order Conditions'!$P$3:$P$6</c:f>
              <c:numCache>
                <c:formatCode>0.0</c:formatCode>
                <c:ptCount val="4"/>
                <c:pt idx="0">
                  <c:v>74</c:v>
                </c:pt>
                <c:pt idx="1">
                  <c:v>13.58</c:v>
                </c:pt>
                <c:pt idx="2">
                  <c:v>16.2</c:v>
                </c:pt>
                <c:pt idx="3">
                  <c:v>24.1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B97-9748-AA6F-CFD471FF5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Bisphenol-A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Conditions'!$M$25:$M$29</c:f>
              <c:numCache>
                <c:formatCode>0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86.19047619047619</c:v>
                </c:pt>
                <c:pt idx="3">
                  <c:v>21.547619047619047</c:v>
                </c:pt>
                <c:pt idx="4" formatCode="General">
                  <c:v>5</c:v>
                </c:pt>
              </c:numCache>
            </c:numRef>
          </c:xVal>
          <c:yVal>
            <c:numRef>
              <c:f>'Pseudo First Order Conditions'!$P$25:$P$29</c:f>
              <c:numCache>
                <c:formatCode>0.0</c:formatCode>
                <c:ptCount val="5"/>
                <c:pt idx="0">
                  <c:v>128.91999999999999</c:v>
                </c:pt>
                <c:pt idx="1">
                  <c:v>35.799999999999997</c:v>
                </c:pt>
                <c:pt idx="2">
                  <c:v>140</c:v>
                </c:pt>
                <c:pt idx="3">
                  <c:v>130.4</c:v>
                </c:pt>
                <c:pt idx="4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79-BB45-B7AD-647DC47DA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2,4-Dichlorophenol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Conditions'!$M$7:$M$11</c:f>
              <c:numCache>
                <c:formatCode>General</c:formatCode>
                <c:ptCount val="5"/>
                <c:pt idx="0" formatCode="0">
                  <c:v>21.19</c:v>
                </c:pt>
                <c:pt idx="1">
                  <c:v>10</c:v>
                </c:pt>
                <c:pt idx="2" formatCode="0">
                  <c:v>0</c:v>
                </c:pt>
                <c:pt idx="3" formatCode="0">
                  <c:v>9.4</c:v>
                </c:pt>
                <c:pt idx="4" formatCode="0">
                  <c:v>10</c:v>
                </c:pt>
              </c:numCache>
            </c:numRef>
          </c:xVal>
          <c:yVal>
            <c:numRef>
              <c:f>'Pseudo First Order Conditions'!$P$7:$P$11</c:f>
              <c:numCache>
                <c:formatCode>0.0</c:formatCode>
                <c:ptCount val="5"/>
                <c:pt idx="0">
                  <c:v>43.976666666666667</c:v>
                </c:pt>
                <c:pt idx="1">
                  <c:v>142</c:v>
                </c:pt>
                <c:pt idx="2">
                  <c:v>19.100000000000001</c:v>
                </c:pt>
                <c:pt idx="3">
                  <c:v>3.8</c:v>
                </c:pt>
                <c:pt idx="4">
                  <c:v>18.7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7-FF4F-B917-71924A839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2,6-Dichlorophenol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Conditions'!$M$12:$M$15</c:f>
              <c:numCache>
                <c:formatCode>0</c:formatCode>
                <c:ptCount val="4"/>
                <c:pt idx="0">
                  <c:v>21.19</c:v>
                </c:pt>
                <c:pt idx="1">
                  <c:v>9.4</c:v>
                </c:pt>
                <c:pt idx="2">
                  <c:v>10</c:v>
                </c:pt>
                <c:pt idx="3">
                  <c:v>0</c:v>
                </c:pt>
              </c:numCache>
            </c:numRef>
          </c:xVal>
          <c:yVal>
            <c:numRef>
              <c:f>'Pseudo First Order Conditions'!$P$12:$P$15</c:f>
              <c:numCache>
                <c:formatCode>0.0</c:formatCode>
                <c:ptCount val="4"/>
                <c:pt idx="0">
                  <c:v>31.994999999999997</c:v>
                </c:pt>
                <c:pt idx="1">
                  <c:v>12.9</c:v>
                </c:pt>
                <c:pt idx="2">
                  <c:v>43.67</c:v>
                </c:pt>
                <c:pt idx="3">
                  <c:v>356.66666666666669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F6-8A4A-A689-03340D4F5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3-Chlorophenol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Conditions'!$M$16:$M$18</c:f>
              <c:numCache>
                <c:formatCode>0</c:formatCode>
                <c:ptCount val="3"/>
                <c:pt idx="0" formatCode="General">
                  <c:v>10</c:v>
                </c:pt>
                <c:pt idx="1">
                  <c:v>9.4</c:v>
                </c:pt>
                <c:pt idx="2">
                  <c:v>10</c:v>
                </c:pt>
              </c:numCache>
            </c:numRef>
          </c:xVal>
          <c:yVal>
            <c:numRef>
              <c:f>'Pseudo First Order Conditions'!$P$16:$P$18</c:f>
              <c:numCache>
                <c:formatCode>0.0</c:formatCode>
                <c:ptCount val="3"/>
                <c:pt idx="0">
                  <c:v>13.4</c:v>
                </c:pt>
                <c:pt idx="1">
                  <c:v>0.95</c:v>
                </c:pt>
                <c:pt idx="2">
                  <c:v>2.13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30-054F-B9F1-3E8890028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4-Chlorophenol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Conditions'!$M$22:$M$24</c:f>
              <c:numCache>
                <c:formatCode>0</c:formatCode>
                <c:ptCount val="3"/>
                <c:pt idx="0">
                  <c:v>16.704999999999998</c:v>
                </c:pt>
                <c:pt idx="1">
                  <c:v>9.4</c:v>
                </c:pt>
                <c:pt idx="2">
                  <c:v>10</c:v>
                </c:pt>
              </c:numCache>
            </c:numRef>
          </c:xVal>
          <c:yVal>
            <c:numRef>
              <c:f>'Pseudo First Order Conditions'!$P$22:$P$24</c:f>
              <c:numCache>
                <c:formatCode>0.0</c:formatCode>
                <c:ptCount val="3"/>
                <c:pt idx="0">
                  <c:v>59.381666666666661</c:v>
                </c:pt>
                <c:pt idx="1">
                  <c:v>4.2</c:v>
                </c:pt>
                <c:pt idx="2">
                  <c:v>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5D-044C-B8E1-9762B5A6F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3-Methylphenol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Conditions'!$M$19:$M$21</c:f>
              <c:numCache>
                <c:formatCode>General</c:formatCode>
                <c:ptCount val="3"/>
                <c:pt idx="0">
                  <c:v>10</c:v>
                </c:pt>
                <c:pt idx="1">
                  <c:v>5</c:v>
                </c:pt>
                <c:pt idx="2">
                  <c:v>6.8</c:v>
                </c:pt>
              </c:numCache>
            </c:numRef>
          </c:xVal>
          <c:yVal>
            <c:numRef>
              <c:f>'Pseudo First Order Conditions'!$P$19:$P$21</c:f>
              <c:numCache>
                <c:formatCode>0.0</c:formatCode>
                <c:ptCount val="3"/>
                <c:pt idx="0">
                  <c:v>98</c:v>
                </c:pt>
                <c:pt idx="1">
                  <c:v>23.1</c:v>
                </c:pt>
                <c:pt idx="2">
                  <c:v>67.333333333333329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FC-F247-BC65-213178941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Ciprofloxacin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Conditions'!$M$33:$M$35</c:f>
              <c:numCache>
                <c:formatCode>General</c:formatCode>
                <c:ptCount val="3"/>
                <c:pt idx="0" formatCode="0">
                  <c:v>5</c:v>
                </c:pt>
                <c:pt idx="1">
                  <c:v>200</c:v>
                </c:pt>
                <c:pt idx="2" formatCode="0">
                  <c:v>10</c:v>
                </c:pt>
              </c:numCache>
            </c:numRef>
          </c:xVal>
          <c:yVal>
            <c:numRef>
              <c:f>'Pseudo First Order Conditions'!$P$33:$P$35</c:f>
              <c:numCache>
                <c:formatCode>0.0</c:formatCode>
                <c:ptCount val="3"/>
                <c:pt idx="0">
                  <c:v>1.36</c:v>
                </c:pt>
                <c:pt idx="1">
                  <c:v>0.61</c:v>
                </c:pt>
                <c:pt idx="2">
                  <c:v>0.96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3A-1045-8775-5625409AF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Carbazmazepine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Conditions'!$M$30:$M$32</c:f>
              <c:numCache>
                <c:formatCode>0</c:formatCode>
                <c:ptCount val="3"/>
                <c:pt idx="0" formatCode="General">
                  <c:v>10</c:v>
                </c:pt>
                <c:pt idx="1">
                  <c:v>5</c:v>
                </c:pt>
                <c:pt idx="2">
                  <c:v>10</c:v>
                </c:pt>
              </c:numCache>
            </c:numRef>
          </c:xVal>
          <c:yVal>
            <c:numRef>
              <c:f>'Pseudo First Order Conditions'!$P$30:$P$32</c:f>
              <c:numCache>
                <c:formatCode>0.0</c:formatCode>
                <c:ptCount val="3"/>
                <c:pt idx="0">
                  <c:v>300</c:v>
                </c:pt>
                <c:pt idx="1">
                  <c:v>248.6</c:v>
                </c:pt>
                <c:pt idx="2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4F-8A4F-A588-0CF79D8D9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Diclofenac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Conditions'!$M$42:$M$44</c:f>
              <c:numCache>
                <c:formatCode>0</c:formatCode>
                <c:ptCount val="3"/>
                <c:pt idx="0">
                  <c:v>5</c:v>
                </c:pt>
                <c:pt idx="1">
                  <c:v>11.073101265822785</c:v>
                </c:pt>
                <c:pt idx="2" formatCode="General">
                  <c:v>20</c:v>
                </c:pt>
              </c:numCache>
            </c:numRef>
          </c:xVal>
          <c:yVal>
            <c:numRef>
              <c:f>'Pseudo First Order Conditions'!$P$42:$P$44</c:f>
              <c:numCache>
                <c:formatCode>0.0</c:formatCode>
                <c:ptCount val="3"/>
                <c:pt idx="0">
                  <c:v>2.6</c:v>
                </c:pt>
                <c:pt idx="1">
                  <c:v>2.2733518989206303</c:v>
                </c:pt>
                <c:pt idx="2">
                  <c:v>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15-364A-9C14-754266050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Enrofloxacin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Conditions'!$M$45:$M$47</c:f>
              <c:numCache>
                <c:formatCode>General</c:formatCode>
                <c:ptCount val="3"/>
                <c:pt idx="0" formatCode="0">
                  <c:v>5</c:v>
                </c:pt>
                <c:pt idx="1">
                  <c:v>50</c:v>
                </c:pt>
                <c:pt idx="2" formatCode="0">
                  <c:v>10</c:v>
                </c:pt>
              </c:numCache>
            </c:numRef>
          </c:xVal>
          <c:yVal>
            <c:numRef>
              <c:f>'Pseudo First Order Conditions'!$P$45:$P$47</c:f>
              <c:numCache>
                <c:formatCode>0.0</c:formatCode>
                <c:ptCount val="3"/>
                <c:pt idx="0">
                  <c:v>2.04</c:v>
                </c:pt>
                <c:pt idx="1">
                  <c:v>0.63</c:v>
                </c:pt>
                <c:pt idx="2">
                  <c:v>1.145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6C-F940-9F7A-060E6C5CD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Ethylbenzene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Conditions'!$M$48:$M$50</c:f>
              <c:numCache>
                <c:formatCode>0</c:formatCode>
                <c:ptCount val="3"/>
                <c:pt idx="0">
                  <c:v>14</c:v>
                </c:pt>
                <c:pt idx="1">
                  <c:v>0</c:v>
                </c:pt>
                <c:pt idx="2" formatCode="General">
                  <c:v>940</c:v>
                </c:pt>
              </c:numCache>
            </c:numRef>
          </c:xVal>
          <c:yVal>
            <c:numRef>
              <c:f>'Pseudo First Order Conditions'!$P$48:$P$50</c:f>
              <c:numCache>
                <c:formatCode>0.0</c:formatCode>
                <c:ptCount val="3"/>
                <c:pt idx="0">
                  <c:v>3.8999999999999998E-3</c:v>
                </c:pt>
                <c:pt idx="1">
                  <c:v>1.1299999999999999E-2</c:v>
                </c:pt>
                <c:pt idx="2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BE-184F-A251-F4DC643A8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Isopropylbenzene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Conditions'!$M$51:$M$53</c:f>
              <c:numCache>
                <c:formatCode>0</c:formatCode>
                <c:ptCount val="3"/>
                <c:pt idx="0">
                  <c:v>10</c:v>
                </c:pt>
                <c:pt idx="1">
                  <c:v>0</c:v>
                </c:pt>
                <c:pt idx="2" formatCode="General">
                  <c:v>981</c:v>
                </c:pt>
              </c:numCache>
            </c:numRef>
          </c:xVal>
          <c:yVal>
            <c:numRef>
              <c:f>'Pseudo First Order Conditions'!$P$51:$P$53</c:f>
              <c:numCache>
                <c:formatCode>0.0</c:formatCode>
                <c:ptCount val="3"/>
                <c:pt idx="0">
                  <c:v>7.7000000000000002E-3</c:v>
                </c:pt>
                <c:pt idx="1">
                  <c:v>1.23E-2</c:v>
                </c:pt>
                <c:pt idx="2">
                  <c:v>6.1999999999999998E-3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3-544A-96C3-ED4F48C9E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Phenol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Conditions'!$M$54:$M$63</c:f>
              <c:numCache>
                <c:formatCode>0</c:formatCode>
                <c:ptCount val="10"/>
                <c:pt idx="0">
                  <c:v>12.22</c:v>
                </c:pt>
                <c:pt idx="1">
                  <c:v>5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  <c:pt idx="5">
                  <c:v>18.100000000000001</c:v>
                </c:pt>
                <c:pt idx="6" formatCode="General">
                  <c:v>5</c:v>
                </c:pt>
                <c:pt idx="7" formatCode="General">
                  <c:v>10</c:v>
                </c:pt>
                <c:pt idx="8" formatCode="General">
                  <c:v>33</c:v>
                </c:pt>
                <c:pt idx="9" formatCode="General">
                  <c:v>38</c:v>
                </c:pt>
              </c:numCache>
            </c:numRef>
          </c:xVal>
          <c:yVal>
            <c:numRef>
              <c:f>'Pseudo First Order Conditions'!$P$54:$P$63</c:f>
              <c:numCache>
                <c:formatCode>0.0</c:formatCode>
                <c:ptCount val="10"/>
                <c:pt idx="0">
                  <c:v>35.549999999999997</c:v>
                </c:pt>
                <c:pt idx="1">
                  <c:v>4.4000000000000004</c:v>
                </c:pt>
                <c:pt idx="2">
                  <c:v>6.14</c:v>
                </c:pt>
                <c:pt idx="3">
                  <c:v>4.5999999999999996</c:v>
                </c:pt>
                <c:pt idx="4">
                  <c:v>6.67</c:v>
                </c:pt>
                <c:pt idx="5">
                  <c:v>21.7</c:v>
                </c:pt>
                <c:pt idx="6">
                  <c:v>5.5</c:v>
                </c:pt>
                <c:pt idx="7">
                  <c:v>1.7</c:v>
                </c:pt>
                <c:pt idx="8">
                  <c:v>1.6</c:v>
                </c:pt>
                <c:pt idx="9">
                  <c:v>1.39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8-0E44-B395-BFB633C4C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Triclosan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Conditions'!$M$94:$M$97</c:f>
              <c:numCache>
                <c:formatCode>0</c:formatCode>
                <c:ptCount val="4"/>
                <c:pt idx="0" formatCode="General">
                  <c:v>10</c:v>
                </c:pt>
                <c:pt idx="1">
                  <c:v>5</c:v>
                </c:pt>
                <c:pt idx="2">
                  <c:v>2.5</c:v>
                </c:pt>
                <c:pt idx="3" formatCode="General">
                  <c:v>5</c:v>
                </c:pt>
              </c:numCache>
            </c:numRef>
          </c:xVal>
          <c:yVal>
            <c:numRef>
              <c:f>'Pseudo First Order Conditions'!$P$94:$P$97</c:f>
              <c:numCache>
                <c:formatCode>0.0</c:formatCode>
                <c:ptCount val="4"/>
                <c:pt idx="0">
                  <c:v>129</c:v>
                </c:pt>
                <c:pt idx="1">
                  <c:v>317.48</c:v>
                </c:pt>
                <c:pt idx="2">
                  <c:v>222.19946147392537</c:v>
                </c:pt>
                <c:pt idx="3">
                  <c:v>110.4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61-CC44-9999-1F4457D7A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cis-DCE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Conditions'!$M$36:$M$39</c:f>
              <c:numCache>
                <c:formatCode>General</c:formatCode>
                <c:ptCount val="4"/>
                <c:pt idx="0" formatCode="0">
                  <c:v>10</c:v>
                </c:pt>
                <c:pt idx="1">
                  <c:v>11.4</c:v>
                </c:pt>
                <c:pt idx="2" formatCode="0">
                  <c:v>4.7</c:v>
                </c:pt>
                <c:pt idx="3">
                  <c:v>10</c:v>
                </c:pt>
              </c:numCache>
            </c:numRef>
          </c:xVal>
          <c:yVal>
            <c:numRef>
              <c:f>'Pseudo First Order Conditions'!$P$36:$P$39</c:f>
              <c:numCache>
                <c:formatCode>0.0</c:formatCode>
                <c:ptCount val="4"/>
                <c:pt idx="0">
                  <c:v>0.92</c:v>
                </c:pt>
                <c:pt idx="1">
                  <c:v>1.52</c:v>
                </c:pt>
                <c:pt idx="2">
                  <c:v>1.1358918918918919</c:v>
                </c:pt>
                <c:pt idx="3">
                  <c:v>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1-0346-B777-F91D0EBFD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TCE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Conditions'!$M$80:$M$93</c:f>
              <c:numCache>
                <c:formatCode>General</c:formatCode>
                <c:ptCount val="14"/>
                <c:pt idx="0" formatCode="0">
                  <c:v>91.98</c:v>
                </c:pt>
                <c:pt idx="1">
                  <c:v>4.7</c:v>
                </c:pt>
                <c:pt idx="2">
                  <c:v>5</c:v>
                </c:pt>
                <c:pt idx="3" formatCode="0">
                  <c:v>7</c:v>
                </c:pt>
                <c:pt idx="4">
                  <c:v>16</c:v>
                </c:pt>
                <c:pt idx="5">
                  <c:v>2.6</c:v>
                </c:pt>
                <c:pt idx="6">
                  <c:v>10</c:v>
                </c:pt>
                <c:pt idx="7" formatCode="0">
                  <c:v>0</c:v>
                </c:pt>
                <c:pt idx="8">
                  <c:v>10</c:v>
                </c:pt>
                <c:pt idx="9">
                  <c:v>0.4</c:v>
                </c:pt>
                <c:pt idx="10">
                  <c:v>2</c:v>
                </c:pt>
                <c:pt idx="11">
                  <c:v>15</c:v>
                </c:pt>
                <c:pt idx="12">
                  <c:v>10</c:v>
                </c:pt>
                <c:pt idx="13" formatCode="0">
                  <c:v>15</c:v>
                </c:pt>
              </c:numCache>
            </c:numRef>
          </c:xVal>
          <c:yVal>
            <c:numRef>
              <c:f>'Pseudo First Order Conditions'!$P$80:$P$93</c:f>
              <c:numCache>
                <c:formatCode>0.0</c:formatCode>
                <c:ptCount val="14"/>
                <c:pt idx="0">
                  <c:v>0.2142857142857143</c:v>
                </c:pt>
                <c:pt idx="1">
                  <c:v>0.66</c:v>
                </c:pt>
                <c:pt idx="2">
                  <c:v>0.67</c:v>
                </c:pt>
                <c:pt idx="3">
                  <c:v>0.67</c:v>
                </c:pt>
                <c:pt idx="4">
                  <c:v>0.8</c:v>
                </c:pt>
                <c:pt idx="5">
                  <c:v>0.65361032258064511</c:v>
                </c:pt>
                <c:pt idx="6">
                  <c:v>0.76</c:v>
                </c:pt>
                <c:pt idx="7">
                  <c:v>0.8</c:v>
                </c:pt>
                <c:pt idx="8">
                  <c:v>0.92666666666666664</c:v>
                </c:pt>
                <c:pt idx="9">
                  <c:v>0.76</c:v>
                </c:pt>
                <c:pt idx="10">
                  <c:v>0.8</c:v>
                </c:pt>
                <c:pt idx="11">
                  <c:v>0.92</c:v>
                </c:pt>
                <c:pt idx="12">
                  <c:v>0.89</c:v>
                </c:pt>
                <c:pt idx="13">
                  <c:v>0.76666666666666672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9-3E43-A8BF-F6E21E327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  <c:max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PCE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Conditions'!$M$64:$M$70</c:f>
              <c:numCache>
                <c:formatCode>0</c:formatCode>
                <c:ptCount val="7"/>
                <c:pt idx="0" formatCode="General">
                  <c:v>9.67</c:v>
                </c:pt>
                <c:pt idx="1">
                  <c:v>10</c:v>
                </c:pt>
                <c:pt idx="2" formatCode="General">
                  <c:v>50</c:v>
                </c:pt>
                <c:pt idx="3" formatCode="General">
                  <c:v>12.3</c:v>
                </c:pt>
                <c:pt idx="4" formatCode="General">
                  <c:v>9.3000000000000007</c:v>
                </c:pt>
                <c:pt idx="5">
                  <c:v>10</c:v>
                </c:pt>
                <c:pt idx="6" formatCode="General">
                  <c:v>215</c:v>
                </c:pt>
              </c:numCache>
            </c:numRef>
          </c:xVal>
          <c:yVal>
            <c:numRef>
              <c:f>'Pseudo First Order Conditions'!$P$64:$P$70</c:f>
              <c:numCache>
                <c:formatCode>0.0</c:formatCode>
                <c:ptCount val="7"/>
                <c:pt idx="0">
                  <c:v>8.3999999999999995E-3</c:v>
                </c:pt>
                <c:pt idx="1">
                  <c:v>4.5000000000000005E-2</c:v>
                </c:pt>
                <c:pt idx="2">
                  <c:v>4.083333333333334E-2</c:v>
                </c:pt>
                <c:pt idx="3">
                  <c:v>3.5000000000000003E-2</c:v>
                </c:pt>
                <c:pt idx="4">
                  <c:v>3.7972907153729064E-2</c:v>
                </c:pt>
                <c:pt idx="5">
                  <c:v>4.3450000000000003E-2</c:v>
                </c:pt>
                <c:pt idx="6">
                  <c:v>1.7000000000000001E-2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C-DE45-A4C5-3904FBD42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trans-DCE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'Pseudo First Order Conditions'!$M$77:$M$79</c:f>
              <c:numCache>
                <c:formatCode>General</c:formatCode>
                <c:ptCount val="3"/>
                <c:pt idx="0" formatCode="0">
                  <c:v>10</c:v>
                </c:pt>
                <c:pt idx="1">
                  <c:v>16</c:v>
                </c:pt>
                <c:pt idx="2">
                  <c:v>20</c:v>
                </c:pt>
              </c:numCache>
            </c:numRef>
          </c:xVal>
          <c:yVal>
            <c:numRef>
              <c:f>'Pseudo First Order Conditions'!$P$77:$P$79</c:f>
              <c:numCache>
                <c:formatCode>0.0</c:formatCode>
                <c:ptCount val="3"/>
                <c:pt idx="0">
                  <c:v>30</c:v>
                </c:pt>
                <c:pt idx="1">
                  <c:v>48.6</c:v>
                </c:pt>
                <c:pt idx="2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46-C945-90D9-4ED6DB4E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71823"/>
        <c:axId val="1867773471"/>
      </c:scatterChart>
      <c:valAx>
        <c:axId val="186777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3471"/>
        <c:crosses val="autoZero"/>
        <c:crossBetween val="midCat"/>
      </c:valAx>
      <c:valAx>
        <c:axId val="1867773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k (/Ms)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H"/>
          </a:p>
        </c:txPr>
        <c:crossAx val="186777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CH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819150</xdr:colOff>
      <xdr:row>1</xdr:row>
      <xdr:rowOff>196850</xdr:rowOff>
    </xdr:from>
    <xdr:to>
      <xdr:col>21</xdr:col>
      <xdr:colOff>717550</xdr:colOff>
      <xdr:row>16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7A8C4-1659-E84D-A0A6-33E505F5E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21</xdr:col>
      <xdr:colOff>723900</xdr:colOff>
      <xdr:row>32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78F6B0-D1AE-2045-8304-D7B7010BF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2</xdr:row>
      <xdr:rowOff>0</xdr:rowOff>
    </xdr:from>
    <xdr:to>
      <xdr:col>25</xdr:col>
      <xdr:colOff>723900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BB7EF9-848C-6F49-8E20-73E375D5B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2</xdr:row>
      <xdr:rowOff>0</xdr:rowOff>
    </xdr:from>
    <xdr:to>
      <xdr:col>29</xdr:col>
      <xdr:colOff>723900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F3940E-4A56-334F-BDA6-D8E5346A3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0</xdr:colOff>
      <xdr:row>2</xdr:row>
      <xdr:rowOff>0</xdr:rowOff>
    </xdr:from>
    <xdr:to>
      <xdr:col>33</xdr:col>
      <xdr:colOff>723900</xdr:colOff>
      <xdr:row>16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C301E0-4FE4-AB4A-870A-F04015875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37</xdr:col>
      <xdr:colOff>723900</xdr:colOff>
      <xdr:row>16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7E245F-C27F-1540-B2BA-02D91E8C5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0</xdr:colOff>
      <xdr:row>2</xdr:row>
      <xdr:rowOff>0</xdr:rowOff>
    </xdr:from>
    <xdr:to>
      <xdr:col>41</xdr:col>
      <xdr:colOff>723900</xdr:colOff>
      <xdr:row>16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07CFAD-CEEC-C244-BD6B-A954139EF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0</xdr:colOff>
      <xdr:row>18</xdr:row>
      <xdr:rowOff>0</xdr:rowOff>
    </xdr:from>
    <xdr:to>
      <xdr:col>29</xdr:col>
      <xdr:colOff>723900</xdr:colOff>
      <xdr:row>32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CF13BFD-C5A0-394E-BE20-491B5A3D0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18</xdr:row>
      <xdr:rowOff>0</xdr:rowOff>
    </xdr:from>
    <xdr:to>
      <xdr:col>25</xdr:col>
      <xdr:colOff>723900</xdr:colOff>
      <xdr:row>32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7BAC2B2-7B3B-AA47-A2FC-937228DFC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0</xdr:colOff>
      <xdr:row>18</xdr:row>
      <xdr:rowOff>0</xdr:rowOff>
    </xdr:from>
    <xdr:to>
      <xdr:col>33</xdr:col>
      <xdr:colOff>723900</xdr:colOff>
      <xdr:row>32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E580C9B-7102-CA4F-86EA-AF72E6F47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37</xdr:col>
      <xdr:colOff>723900</xdr:colOff>
      <xdr:row>32</xdr:row>
      <xdr:rowOff>63500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A00FC5E-44E2-0749-B002-55FDB2C0F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0</xdr:colOff>
      <xdr:row>34</xdr:row>
      <xdr:rowOff>0</xdr:rowOff>
    </xdr:from>
    <xdr:to>
      <xdr:col>21</xdr:col>
      <xdr:colOff>723900</xdr:colOff>
      <xdr:row>48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13699F9-FB0B-474E-990B-52508585A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0</xdr:colOff>
      <xdr:row>34</xdr:row>
      <xdr:rowOff>0</xdr:rowOff>
    </xdr:from>
    <xdr:to>
      <xdr:col>25</xdr:col>
      <xdr:colOff>723900</xdr:colOff>
      <xdr:row>48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25965E5-F148-124D-92A7-B8A93685A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0</xdr:colOff>
      <xdr:row>34</xdr:row>
      <xdr:rowOff>0</xdr:rowOff>
    </xdr:from>
    <xdr:to>
      <xdr:col>29</xdr:col>
      <xdr:colOff>723900</xdr:colOff>
      <xdr:row>48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6FD1BB2-D206-3643-B536-F72F7614E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30</xdr:col>
      <xdr:colOff>0</xdr:colOff>
      <xdr:row>34</xdr:row>
      <xdr:rowOff>0</xdr:rowOff>
    </xdr:from>
    <xdr:to>
      <xdr:col>33</xdr:col>
      <xdr:colOff>723900</xdr:colOff>
      <xdr:row>48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C5B32E7-02C3-464D-B91D-CE14FFAA4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0</xdr:colOff>
      <xdr:row>50</xdr:row>
      <xdr:rowOff>0</xdr:rowOff>
    </xdr:from>
    <xdr:to>
      <xdr:col>21</xdr:col>
      <xdr:colOff>723900</xdr:colOff>
      <xdr:row>64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7303E4A-0DA0-0C43-ADBB-959B732FA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26</xdr:col>
      <xdr:colOff>0</xdr:colOff>
      <xdr:row>50</xdr:row>
      <xdr:rowOff>12700</xdr:rowOff>
    </xdr:from>
    <xdr:to>
      <xdr:col>29</xdr:col>
      <xdr:colOff>723900</xdr:colOff>
      <xdr:row>64</xdr:row>
      <xdr:rowOff>88900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266CDB7-98E6-8447-A656-5DD2DC7EF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30</xdr:col>
      <xdr:colOff>0</xdr:colOff>
      <xdr:row>50</xdr:row>
      <xdr:rowOff>12700</xdr:rowOff>
    </xdr:from>
    <xdr:to>
      <xdr:col>33</xdr:col>
      <xdr:colOff>723900</xdr:colOff>
      <xdr:row>64</xdr:row>
      <xdr:rowOff>88900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9620E71-BBB0-994C-991F-9B58997DE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812800</xdr:colOff>
      <xdr:row>50</xdr:row>
      <xdr:rowOff>0</xdr:rowOff>
    </xdr:from>
    <xdr:to>
      <xdr:col>25</xdr:col>
      <xdr:colOff>711200</xdr:colOff>
      <xdr:row>64</xdr:row>
      <xdr:rowOff>76200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404DC37-B8B6-A546-8803-D5F461482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42F7-8703-4356-8036-228692448865}">
  <dimension ref="A1:AD335"/>
  <sheetViews>
    <sheetView zoomScale="130" zoomScaleNormal="130" workbookViewId="0">
      <pane ySplit="3" topLeftCell="A4" activePane="bottomLeft" state="frozen"/>
      <selection pane="bottomLeft" activeCell="M15" sqref="M15"/>
    </sheetView>
  </sheetViews>
  <sheetFormatPr baseColWidth="10" defaultColWidth="8.83203125" defaultRowHeight="14" x14ac:dyDescent="0.15"/>
  <cols>
    <col min="1" max="1" width="4.33203125" style="1" bestFit="1" customWidth="1"/>
    <col min="2" max="2" width="31.5" style="1" customWidth="1"/>
    <col min="3" max="3" width="26.6640625" style="1" bestFit="1" customWidth="1"/>
    <col min="4" max="4" width="11.33203125" style="1" bestFit="1" customWidth="1"/>
    <col min="5" max="5" width="7.6640625" style="1" bestFit="1" customWidth="1"/>
    <col min="6" max="6" width="9.6640625" style="3" bestFit="1" customWidth="1"/>
    <col min="7" max="7" width="36" style="1" customWidth="1"/>
    <col min="8" max="8" width="10.83203125" style="1" customWidth="1"/>
    <col min="9" max="9" width="17.1640625" style="1" customWidth="1"/>
    <col min="10" max="10" width="13.83203125" style="1" bestFit="1" customWidth="1"/>
    <col min="11" max="11" width="21.1640625" style="1" bestFit="1" customWidth="1"/>
    <col min="12" max="12" width="3.83203125" style="5" bestFit="1" customWidth="1"/>
    <col min="13" max="13" width="23.1640625" style="1" bestFit="1" customWidth="1"/>
    <col min="14" max="14" width="5.1640625" style="1" bestFit="1" customWidth="1"/>
    <col min="15" max="15" width="154.6640625" style="1" bestFit="1" customWidth="1"/>
    <col min="16" max="17" width="8.83203125" style="1"/>
    <col min="18" max="18" width="9.1640625" style="1" bestFit="1" customWidth="1"/>
    <col min="19" max="19" width="8.83203125" style="1"/>
    <col min="20" max="20" width="9.83203125" style="1" customWidth="1"/>
    <col min="21" max="21" width="12.5" style="1" bestFit="1" customWidth="1"/>
    <col min="22" max="22" width="14.33203125" style="1" bestFit="1" customWidth="1"/>
    <col min="23" max="24" width="8.83203125" style="1"/>
    <col min="25" max="25" width="12.5" style="1" bestFit="1" customWidth="1"/>
    <col min="26" max="26" width="12.33203125" style="1" bestFit="1" customWidth="1"/>
    <col min="27" max="29" width="8.83203125" style="1"/>
    <col min="30" max="30" width="9.1640625" style="1" bestFit="1" customWidth="1"/>
    <col min="31" max="16384" width="8.83203125" style="1"/>
  </cols>
  <sheetData>
    <row r="1" spans="1:15" x14ac:dyDescent="0.15">
      <c r="A1" s="1" t="s">
        <v>896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25"/>
      <c r="M1" s="5"/>
      <c r="N1" s="14"/>
      <c r="O1" s="14"/>
    </row>
    <row r="2" spans="1:15" ht="28" customHeight="1" x14ac:dyDescent="0.15">
      <c r="B2" s="10"/>
      <c r="C2" s="14"/>
      <c r="D2" s="14"/>
      <c r="E2" s="147" t="s">
        <v>10</v>
      </c>
      <c r="F2" s="148"/>
      <c r="G2" s="149"/>
      <c r="H2" s="14"/>
      <c r="I2" s="148" t="s">
        <v>6</v>
      </c>
      <c r="J2" s="148"/>
      <c r="K2" s="148"/>
      <c r="L2" s="150" t="s">
        <v>893</v>
      </c>
      <c r="M2" s="151"/>
      <c r="N2" s="151"/>
      <c r="O2" s="152"/>
    </row>
    <row r="3" spans="1:15" x14ac:dyDescent="0.15">
      <c r="A3" s="26" t="s">
        <v>707</v>
      </c>
      <c r="B3" s="10" t="s">
        <v>1</v>
      </c>
      <c r="C3" s="22" t="s">
        <v>2</v>
      </c>
      <c r="D3" s="22" t="s">
        <v>843</v>
      </c>
      <c r="E3" s="27" t="s">
        <v>5</v>
      </c>
      <c r="F3" s="22" t="s">
        <v>9</v>
      </c>
      <c r="G3" s="110" t="s">
        <v>629</v>
      </c>
      <c r="H3" s="99" t="s">
        <v>894</v>
      </c>
      <c r="I3" s="22" t="s">
        <v>7</v>
      </c>
      <c r="J3" s="22" t="s">
        <v>8</v>
      </c>
      <c r="K3" s="22" t="s">
        <v>51</v>
      </c>
      <c r="L3" s="28" t="s">
        <v>90</v>
      </c>
      <c r="M3" s="22" t="s">
        <v>11</v>
      </c>
      <c r="N3" s="22" t="s">
        <v>12</v>
      </c>
      <c r="O3" s="26" t="s">
        <v>13</v>
      </c>
    </row>
    <row r="4" spans="1:15" x14ac:dyDescent="0.15">
      <c r="A4" s="24">
        <v>1</v>
      </c>
      <c r="B4" s="2" t="s">
        <v>21</v>
      </c>
      <c r="C4" s="8">
        <v>10.6</v>
      </c>
      <c r="D4" s="8">
        <f>1/43*C4</f>
        <v>0.24651162790697673</v>
      </c>
      <c r="E4" s="12">
        <v>13</v>
      </c>
      <c r="F4" s="3">
        <v>25</v>
      </c>
      <c r="G4" s="13" t="s">
        <v>22</v>
      </c>
      <c r="H4" s="1" t="s">
        <v>23</v>
      </c>
      <c r="I4" s="3" t="s">
        <v>24</v>
      </c>
      <c r="J4" s="3">
        <v>10</v>
      </c>
      <c r="K4" s="96">
        <v>4.0499999999999998E-3</v>
      </c>
      <c r="L4" s="23">
        <v>1</v>
      </c>
      <c r="M4" s="1" t="s">
        <v>19</v>
      </c>
      <c r="N4" s="1">
        <v>1965</v>
      </c>
      <c r="O4" s="13" t="s">
        <v>20</v>
      </c>
    </row>
    <row r="5" spans="1:15" x14ac:dyDescent="0.15">
      <c r="A5" s="24">
        <v>2</v>
      </c>
      <c r="B5" s="2" t="s">
        <v>25</v>
      </c>
      <c r="C5" s="5">
        <v>178</v>
      </c>
      <c r="D5" s="5">
        <f>1/105*C5</f>
        <v>1.6952380952380954</v>
      </c>
      <c r="E5" s="12">
        <v>13</v>
      </c>
      <c r="F5" s="3">
        <v>25</v>
      </c>
      <c r="G5" s="13" t="s">
        <v>22</v>
      </c>
      <c r="H5" s="1" t="s">
        <v>23</v>
      </c>
      <c r="I5" s="3" t="s">
        <v>24</v>
      </c>
      <c r="J5" s="3">
        <v>1.46</v>
      </c>
      <c r="K5" s="3">
        <v>5.8900000000000001E-4</v>
      </c>
      <c r="L5" s="23">
        <v>1</v>
      </c>
      <c r="M5" s="1" t="s">
        <v>19</v>
      </c>
      <c r="N5" s="1">
        <v>1965</v>
      </c>
      <c r="O5" s="13" t="s">
        <v>20</v>
      </c>
    </row>
    <row r="6" spans="1:15" x14ac:dyDescent="0.15">
      <c r="A6" s="24">
        <v>3</v>
      </c>
      <c r="B6" s="2" t="s">
        <v>26</v>
      </c>
      <c r="C6" s="5">
        <f>AVERAGE(640,644,662)</f>
        <v>648.66666666666663</v>
      </c>
      <c r="D6" s="5"/>
      <c r="E6" s="12">
        <v>13</v>
      </c>
      <c r="F6" s="3">
        <v>25</v>
      </c>
      <c r="G6" s="13" t="s">
        <v>22</v>
      </c>
      <c r="H6" s="1" t="s">
        <v>23</v>
      </c>
      <c r="I6" s="3" t="s">
        <v>24</v>
      </c>
      <c r="J6" s="3" t="s">
        <v>596</v>
      </c>
      <c r="K6" s="3" t="s">
        <v>28</v>
      </c>
      <c r="L6" s="23">
        <v>1</v>
      </c>
      <c r="M6" s="1" t="s">
        <v>19</v>
      </c>
      <c r="N6" s="1">
        <v>1965</v>
      </c>
      <c r="O6" s="13" t="s">
        <v>20</v>
      </c>
    </row>
    <row r="7" spans="1:15" x14ac:dyDescent="0.15">
      <c r="A7" s="24">
        <v>4</v>
      </c>
      <c r="B7" s="2" t="s">
        <v>632</v>
      </c>
      <c r="C7" s="5">
        <v>275</v>
      </c>
      <c r="D7" s="5"/>
      <c r="E7" s="12">
        <v>13</v>
      </c>
      <c r="F7" s="3">
        <v>25</v>
      </c>
      <c r="G7" s="13" t="s">
        <v>22</v>
      </c>
      <c r="H7" s="1" t="s">
        <v>23</v>
      </c>
      <c r="I7" s="3" t="s">
        <v>24</v>
      </c>
      <c r="J7" s="3" t="s">
        <v>597</v>
      </c>
      <c r="K7" s="3" t="s">
        <v>630</v>
      </c>
      <c r="L7" s="23">
        <v>1</v>
      </c>
      <c r="M7" s="1" t="s">
        <v>19</v>
      </c>
      <c r="N7" s="1">
        <v>1965</v>
      </c>
      <c r="O7" s="13" t="s">
        <v>20</v>
      </c>
    </row>
    <row r="8" spans="1:15" x14ac:dyDescent="0.15">
      <c r="A8" s="24">
        <v>5</v>
      </c>
      <c r="B8" s="2" t="s">
        <v>633</v>
      </c>
      <c r="C8" s="6">
        <v>2</v>
      </c>
      <c r="D8" s="6"/>
      <c r="E8" s="12">
        <v>13</v>
      </c>
      <c r="F8" s="3">
        <v>25</v>
      </c>
      <c r="G8" s="13" t="s">
        <v>22</v>
      </c>
      <c r="H8" s="1" t="s">
        <v>23</v>
      </c>
      <c r="I8" s="3" t="s">
        <v>24</v>
      </c>
      <c r="J8" s="3" t="s">
        <v>29</v>
      </c>
      <c r="K8" s="3" t="s">
        <v>631</v>
      </c>
      <c r="L8" s="23">
        <v>1</v>
      </c>
      <c r="M8" s="1" t="s">
        <v>19</v>
      </c>
      <c r="N8" s="1">
        <v>1965</v>
      </c>
      <c r="O8" s="13" t="s">
        <v>20</v>
      </c>
    </row>
    <row r="9" spans="1:15" x14ac:dyDescent="0.15">
      <c r="A9" s="24">
        <v>6</v>
      </c>
      <c r="B9" s="2" t="s">
        <v>541</v>
      </c>
      <c r="C9" s="5">
        <v>140</v>
      </c>
      <c r="D9" s="5">
        <v>7</v>
      </c>
      <c r="E9" s="12">
        <v>6.5</v>
      </c>
      <c r="F9" s="3">
        <v>25</v>
      </c>
      <c r="G9" s="13" t="s">
        <v>46</v>
      </c>
      <c r="H9" s="1" t="s">
        <v>23</v>
      </c>
      <c r="I9" s="3" t="s">
        <v>24</v>
      </c>
      <c r="J9" s="3" t="s">
        <v>578</v>
      </c>
      <c r="K9" s="3" t="s">
        <v>48</v>
      </c>
      <c r="L9" s="23">
        <v>2</v>
      </c>
      <c r="M9" s="1" t="s">
        <v>19</v>
      </c>
      <c r="N9" s="1">
        <v>1966</v>
      </c>
      <c r="O9" s="13" t="s">
        <v>45</v>
      </c>
    </row>
    <row r="10" spans="1:15" x14ac:dyDescent="0.15">
      <c r="A10" s="24">
        <v>7</v>
      </c>
      <c r="B10" s="2" t="s">
        <v>634</v>
      </c>
      <c r="C10" s="5">
        <v>330</v>
      </c>
      <c r="D10" s="5">
        <v>17</v>
      </c>
      <c r="E10" s="12">
        <v>13</v>
      </c>
      <c r="F10" s="3">
        <v>25</v>
      </c>
      <c r="G10" s="13" t="s">
        <v>47</v>
      </c>
      <c r="H10" s="1" t="s">
        <v>23</v>
      </c>
      <c r="I10" s="3" t="s">
        <v>24</v>
      </c>
      <c r="J10" s="3" t="s">
        <v>614</v>
      </c>
      <c r="K10" s="3" t="s">
        <v>613</v>
      </c>
      <c r="L10" s="23">
        <v>2</v>
      </c>
      <c r="M10" s="1" t="s">
        <v>19</v>
      </c>
      <c r="N10" s="1">
        <v>1966</v>
      </c>
      <c r="O10" s="13" t="s">
        <v>45</v>
      </c>
    </row>
    <row r="11" spans="1:15" x14ac:dyDescent="0.15">
      <c r="A11" s="24">
        <v>8</v>
      </c>
      <c r="B11" s="2" t="s">
        <v>635</v>
      </c>
      <c r="C11" s="5">
        <v>232</v>
      </c>
      <c r="D11" s="5">
        <v>11</v>
      </c>
      <c r="E11" s="12">
        <v>6.5</v>
      </c>
      <c r="F11" s="3">
        <v>25</v>
      </c>
      <c r="G11" s="13" t="s">
        <v>46</v>
      </c>
      <c r="H11" s="1" t="s">
        <v>23</v>
      </c>
      <c r="I11" s="3" t="s">
        <v>24</v>
      </c>
      <c r="J11" s="3" t="s">
        <v>578</v>
      </c>
      <c r="K11" s="3" t="s">
        <v>48</v>
      </c>
      <c r="L11" s="23">
        <v>2</v>
      </c>
      <c r="M11" s="1" t="s">
        <v>19</v>
      </c>
      <c r="N11" s="1">
        <v>1966</v>
      </c>
      <c r="O11" s="13" t="s">
        <v>45</v>
      </c>
    </row>
    <row r="12" spans="1:15" x14ac:dyDescent="0.15">
      <c r="A12" s="24">
        <v>9</v>
      </c>
      <c r="B12" s="2" t="s">
        <v>636</v>
      </c>
      <c r="C12" s="5">
        <v>111</v>
      </c>
      <c r="D12" s="5">
        <v>6</v>
      </c>
      <c r="E12" s="12">
        <v>13</v>
      </c>
      <c r="F12" s="3">
        <v>25</v>
      </c>
      <c r="G12" s="13" t="s">
        <v>47</v>
      </c>
      <c r="H12" s="1" t="s">
        <v>23</v>
      </c>
      <c r="I12" s="3" t="s">
        <v>24</v>
      </c>
      <c r="J12" s="3" t="s">
        <v>49</v>
      </c>
      <c r="K12" s="3" t="s">
        <v>50</v>
      </c>
      <c r="L12" s="23">
        <v>2</v>
      </c>
      <c r="M12" s="1" t="s">
        <v>19</v>
      </c>
      <c r="N12" s="1">
        <v>1966</v>
      </c>
      <c r="O12" s="13" t="s">
        <v>45</v>
      </c>
    </row>
    <row r="13" spans="1:15" x14ac:dyDescent="0.15">
      <c r="A13" s="24">
        <v>10</v>
      </c>
      <c r="B13" s="2" t="s">
        <v>637</v>
      </c>
      <c r="C13" s="5">
        <v>325</v>
      </c>
      <c r="D13" s="5">
        <v>16</v>
      </c>
      <c r="E13" s="12">
        <v>13</v>
      </c>
      <c r="F13" s="3">
        <v>25</v>
      </c>
      <c r="G13" s="13" t="s">
        <v>47</v>
      </c>
      <c r="H13" s="1" t="s">
        <v>23</v>
      </c>
      <c r="I13" s="3" t="s">
        <v>24</v>
      </c>
      <c r="J13" s="3" t="s">
        <v>52</v>
      </c>
      <c r="K13" s="3" t="s">
        <v>53</v>
      </c>
      <c r="L13" s="23">
        <v>2</v>
      </c>
      <c r="M13" s="1" t="s">
        <v>19</v>
      </c>
      <c r="N13" s="1">
        <v>1966</v>
      </c>
      <c r="O13" s="13" t="s">
        <v>45</v>
      </c>
    </row>
    <row r="14" spans="1:15" x14ac:dyDescent="0.15">
      <c r="A14" s="24">
        <v>11</v>
      </c>
      <c r="B14" s="2" t="s">
        <v>638</v>
      </c>
      <c r="C14" s="5">
        <v>242</v>
      </c>
      <c r="D14" s="5">
        <v>12</v>
      </c>
      <c r="E14" s="12">
        <v>13</v>
      </c>
      <c r="F14" s="3">
        <v>25</v>
      </c>
      <c r="G14" s="13" t="s">
        <v>47</v>
      </c>
      <c r="H14" s="1" t="s">
        <v>23</v>
      </c>
      <c r="I14" s="3" t="s">
        <v>24</v>
      </c>
      <c r="J14" s="3" t="s">
        <v>55</v>
      </c>
      <c r="K14" s="3" t="s">
        <v>54</v>
      </c>
      <c r="L14" s="23">
        <v>2</v>
      </c>
      <c r="M14" s="1" t="s">
        <v>19</v>
      </c>
      <c r="N14" s="1">
        <v>1966</v>
      </c>
      <c r="O14" s="13" t="s">
        <v>45</v>
      </c>
    </row>
    <row r="15" spans="1:15" x14ac:dyDescent="0.15">
      <c r="A15" s="24">
        <v>12</v>
      </c>
      <c r="B15" s="2" t="s">
        <v>639</v>
      </c>
      <c r="C15" s="5">
        <v>455</v>
      </c>
      <c r="D15" s="5">
        <v>23</v>
      </c>
      <c r="E15" s="12">
        <v>13</v>
      </c>
      <c r="F15" s="3">
        <v>25</v>
      </c>
      <c r="G15" s="13" t="s">
        <v>47</v>
      </c>
      <c r="H15" s="1" t="s">
        <v>23</v>
      </c>
      <c r="I15" s="3" t="s">
        <v>24</v>
      </c>
      <c r="J15" s="3" t="s">
        <v>615</v>
      </c>
      <c r="K15" s="3" t="s">
        <v>56</v>
      </c>
      <c r="L15" s="23">
        <v>2</v>
      </c>
      <c r="M15" s="1" t="s">
        <v>19</v>
      </c>
      <c r="N15" s="1">
        <v>1966</v>
      </c>
      <c r="O15" s="13" t="s">
        <v>45</v>
      </c>
    </row>
    <row r="16" spans="1:15" x14ac:dyDescent="0.15">
      <c r="A16" s="24">
        <v>13</v>
      </c>
      <c r="B16" s="2" t="s">
        <v>640</v>
      </c>
      <c r="C16" s="5">
        <v>167</v>
      </c>
      <c r="D16" s="5">
        <v>8</v>
      </c>
      <c r="E16" s="12">
        <v>13</v>
      </c>
      <c r="F16" s="3">
        <v>25</v>
      </c>
      <c r="G16" s="13" t="s">
        <v>47</v>
      </c>
      <c r="H16" s="1" t="s">
        <v>23</v>
      </c>
      <c r="I16" s="3" t="s">
        <v>24</v>
      </c>
      <c r="J16" s="3" t="s">
        <v>577</v>
      </c>
      <c r="K16" s="3" t="s">
        <v>27</v>
      </c>
      <c r="L16" s="23">
        <v>2</v>
      </c>
      <c r="M16" s="1" t="s">
        <v>19</v>
      </c>
      <c r="N16" s="1">
        <v>1966</v>
      </c>
      <c r="O16" s="13" t="s">
        <v>45</v>
      </c>
    </row>
    <row r="17" spans="1:15" x14ac:dyDescent="0.15">
      <c r="A17" s="24">
        <v>14</v>
      </c>
      <c r="B17" s="2" t="s">
        <v>641</v>
      </c>
      <c r="C17" s="5">
        <v>490</v>
      </c>
      <c r="D17" s="5">
        <v>25</v>
      </c>
      <c r="E17" s="12">
        <v>6.5</v>
      </c>
      <c r="F17" s="3">
        <v>25</v>
      </c>
      <c r="G17" s="13" t="s">
        <v>46</v>
      </c>
      <c r="H17" s="1" t="s">
        <v>23</v>
      </c>
      <c r="I17" s="3" t="s">
        <v>24</v>
      </c>
      <c r="J17" s="3" t="s">
        <v>616</v>
      </c>
      <c r="K17" s="3" t="s">
        <v>57</v>
      </c>
      <c r="L17" s="23">
        <v>2</v>
      </c>
      <c r="M17" s="1" t="s">
        <v>19</v>
      </c>
      <c r="N17" s="1">
        <v>1966</v>
      </c>
      <c r="O17" s="13" t="s">
        <v>45</v>
      </c>
    </row>
    <row r="18" spans="1:15" x14ac:dyDescent="0.15">
      <c r="A18" s="24">
        <v>15</v>
      </c>
      <c r="B18" s="2" t="s">
        <v>642</v>
      </c>
      <c r="C18" s="5">
        <v>260</v>
      </c>
      <c r="D18" s="5">
        <v>14</v>
      </c>
      <c r="E18" s="12">
        <v>6.5</v>
      </c>
      <c r="F18" s="3">
        <v>0.5</v>
      </c>
      <c r="G18" s="13" t="s">
        <v>46</v>
      </c>
      <c r="H18" s="1" t="s">
        <v>23</v>
      </c>
      <c r="I18" s="3" t="s">
        <v>24</v>
      </c>
      <c r="J18" s="3" t="s">
        <v>576</v>
      </c>
      <c r="K18" s="3" t="s">
        <v>60</v>
      </c>
      <c r="L18" s="23">
        <v>2</v>
      </c>
      <c r="M18" s="1" t="s">
        <v>19</v>
      </c>
      <c r="N18" s="1">
        <v>1966</v>
      </c>
      <c r="O18" s="13" t="s">
        <v>45</v>
      </c>
    </row>
    <row r="19" spans="1:15" x14ac:dyDescent="0.15">
      <c r="A19" s="24">
        <v>16</v>
      </c>
      <c r="B19" s="2" t="s">
        <v>643</v>
      </c>
      <c r="C19" s="5">
        <v>272</v>
      </c>
      <c r="D19" s="5">
        <v>14</v>
      </c>
      <c r="E19" s="12">
        <v>6.5</v>
      </c>
      <c r="F19" s="3">
        <v>0.5</v>
      </c>
      <c r="G19" s="13" t="s">
        <v>46</v>
      </c>
      <c r="H19" s="1" t="s">
        <v>23</v>
      </c>
      <c r="I19" s="3" t="s">
        <v>24</v>
      </c>
      <c r="J19" s="3" t="s">
        <v>576</v>
      </c>
      <c r="K19" s="3" t="s">
        <v>60</v>
      </c>
      <c r="L19" s="23">
        <v>2</v>
      </c>
      <c r="M19" s="1" t="s">
        <v>19</v>
      </c>
      <c r="N19" s="1">
        <v>1966</v>
      </c>
      <c r="O19" s="13" t="s">
        <v>45</v>
      </c>
    </row>
    <row r="20" spans="1:15" x14ac:dyDescent="0.15">
      <c r="A20" s="24">
        <v>17</v>
      </c>
      <c r="B20" s="2" t="s">
        <v>734</v>
      </c>
      <c r="C20" s="5">
        <v>302</v>
      </c>
      <c r="D20" s="5">
        <v>15</v>
      </c>
      <c r="E20" s="12">
        <v>13</v>
      </c>
      <c r="F20" s="3">
        <v>0.5</v>
      </c>
      <c r="G20" s="13" t="s">
        <v>47</v>
      </c>
      <c r="H20" s="1" t="s">
        <v>23</v>
      </c>
      <c r="I20" s="3" t="s">
        <v>24</v>
      </c>
      <c r="J20" s="3" t="s">
        <v>576</v>
      </c>
      <c r="K20" s="3" t="s">
        <v>60</v>
      </c>
      <c r="L20" s="23">
        <v>2</v>
      </c>
      <c r="M20" s="1" t="s">
        <v>19</v>
      </c>
      <c r="N20" s="1">
        <v>1966</v>
      </c>
      <c r="O20" s="13" t="s">
        <v>45</v>
      </c>
    </row>
    <row r="21" spans="1:15" x14ac:dyDescent="0.15">
      <c r="A21" s="24">
        <v>18</v>
      </c>
      <c r="B21" s="2" t="s">
        <v>644</v>
      </c>
      <c r="C21" s="5">
        <v>70</v>
      </c>
      <c r="D21" s="8"/>
      <c r="E21" s="12">
        <v>13</v>
      </c>
      <c r="F21" s="3">
        <v>25</v>
      </c>
      <c r="G21" s="13" t="s">
        <v>47</v>
      </c>
      <c r="H21" s="1" t="s">
        <v>23</v>
      </c>
      <c r="I21" s="3" t="s">
        <v>24</v>
      </c>
      <c r="J21" s="3" t="s">
        <v>58</v>
      </c>
      <c r="K21" s="3" t="s">
        <v>59</v>
      </c>
      <c r="L21" s="23">
        <v>2</v>
      </c>
      <c r="M21" s="1" t="s">
        <v>19</v>
      </c>
      <c r="N21" s="1">
        <v>1966</v>
      </c>
      <c r="O21" s="13" t="s">
        <v>45</v>
      </c>
    </row>
    <row r="22" spans="1:15" x14ac:dyDescent="0.15">
      <c r="A22" s="24">
        <v>19</v>
      </c>
      <c r="B22" s="2" t="s">
        <v>67</v>
      </c>
      <c r="C22" s="4">
        <v>1.8799999999999999E-3</v>
      </c>
      <c r="D22" s="4"/>
      <c r="E22" s="12">
        <v>4.5999999999999996</v>
      </c>
      <c r="F22" s="3">
        <v>20</v>
      </c>
      <c r="G22" s="13" t="s">
        <v>66</v>
      </c>
      <c r="H22" s="1" t="s">
        <v>68</v>
      </c>
      <c r="I22" s="3" t="s">
        <v>24</v>
      </c>
      <c r="J22" s="3">
        <v>18</v>
      </c>
      <c r="K22" s="3">
        <v>0.16600000000000001</v>
      </c>
      <c r="L22" s="23">
        <v>3</v>
      </c>
      <c r="M22" s="1" t="s">
        <v>64</v>
      </c>
      <c r="N22" s="1">
        <v>1967</v>
      </c>
      <c r="O22" s="13" t="s">
        <v>65</v>
      </c>
    </row>
    <row r="23" spans="1:15" x14ac:dyDescent="0.15">
      <c r="A23" s="24">
        <v>20</v>
      </c>
      <c r="B23" s="2" t="s">
        <v>69</v>
      </c>
      <c r="C23" s="4">
        <v>1.67E-3</v>
      </c>
      <c r="D23" s="4"/>
      <c r="E23" s="12">
        <v>4.5999999999999996</v>
      </c>
      <c r="F23" s="3">
        <v>20</v>
      </c>
      <c r="G23" s="13" t="s">
        <v>66</v>
      </c>
      <c r="H23" s="1" t="s">
        <v>68</v>
      </c>
      <c r="I23" s="3" t="s">
        <v>24</v>
      </c>
      <c r="J23" s="3">
        <v>18.600000000000001</v>
      </c>
      <c r="K23" s="3">
        <v>0.17150000000000001</v>
      </c>
      <c r="L23" s="23">
        <v>3</v>
      </c>
      <c r="M23" s="1" t="s">
        <v>64</v>
      </c>
      <c r="N23" s="1">
        <v>1967</v>
      </c>
      <c r="O23" s="13" t="s">
        <v>65</v>
      </c>
    </row>
    <row r="24" spans="1:15" x14ac:dyDescent="0.15">
      <c r="A24" s="24">
        <v>21</v>
      </c>
      <c r="B24" s="2" t="s">
        <v>70</v>
      </c>
      <c r="C24" s="4">
        <v>3.0899999999999999E-5</v>
      </c>
      <c r="D24" s="4"/>
      <c r="E24" s="12">
        <v>4.5999999999999996</v>
      </c>
      <c r="F24" s="3">
        <v>20</v>
      </c>
      <c r="G24" s="13" t="s">
        <v>66</v>
      </c>
      <c r="H24" s="1" t="s">
        <v>68</v>
      </c>
      <c r="I24" s="3" t="s">
        <v>24</v>
      </c>
      <c r="J24" s="3">
        <v>127</v>
      </c>
      <c r="K24" s="3">
        <v>1.17</v>
      </c>
      <c r="L24" s="23">
        <v>3</v>
      </c>
      <c r="M24" s="1" t="s">
        <v>64</v>
      </c>
      <c r="N24" s="1">
        <v>1967</v>
      </c>
      <c r="O24" s="13" t="s">
        <v>65</v>
      </c>
    </row>
    <row r="25" spans="1:15" x14ac:dyDescent="0.15">
      <c r="A25" s="24">
        <v>22</v>
      </c>
      <c r="B25" s="2" t="s">
        <v>71</v>
      </c>
      <c r="C25" s="4">
        <v>4.46E-5</v>
      </c>
      <c r="D25" s="4"/>
      <c r="E25" s="12">
        <v>4.5999999999999996</v>
      </c>
      <c r="F25" s="3">
        <v>20</v>
      </c>
      <c r="G25" s="13" t="s">
        <v>66</v>
      </c>
      <c r="H25" s="1" t="s">
        <v>68</v>
      </c>
      <c r="I25" s="3" t="s">
        <v>24</v>
      </c>
      <c r="J25" s="3">
        <v>26.8</v>
      </c>
      <c r="K25" s="3">
        <v>0.247</v>
      </c>
      <c r="L25" s="23">
        <v>3</v>
      </c>
      <c r="M25" s="1" t="s">
        <v>64</v>
      </c>
      <c r="N25" s="1">
        <v>1967</v>
      </c>
      <c r="O25" s="13" t="s">
        <v>65</v>
      </c>
    </row>
    <row r="26" spans="1:15" x14ac:dyDescent="0.15">
      <c r="A26" s="24">
        <v>23</v>
      </c>
      <c r="B26" s="2" t="s">
        <v>72</v>
      </c>
      <c r="C26" s="4">
        <v>3.9100000000000002E-4</v>
      </c>
      <c r="D26" s="4"/>
      <c r="E26" s="12">
        <v>4.5999999999999996</v>
      </c>
      <c r="F26" s="3">
        <v>20</v>
      </c>
      <c r="G26" s="13" t="s">
        <v>66</v>
      </c>
      <c r="H26" s="1" t="s">
        <v>68</v>
      </c>
      <c r="I26" s="3" t="s">
        <v>24</v>
      </c>
      <c r="J26" s="5">
        <v>14.2</v>
      </c>
      <c r="K26" s="3">
        <v>0.13100000000000001</v>
      </c>
      <c r="L26" s="23">
        <v>3</v>
      </c>
      <c r="M26" s="1" t="s">
        <v>64</v>
      </c>
      <c r="N26" s="1">
        <v>1967</v>
      </c>
      <c r="O26" s="13" t="s">
        <v>65</v>
      </c>
    </row>
    <row r="27" spans="1:15" x14ac:dyDescent="0.15">
      <c r="A27" s="24">
        <v>24</v>
      </c>
      <c r="B27" s="2" t="s">
        <v>73</v>
      </c>
      <c r="C27" s="4">
        <v>8.9999999999999998E-4</v>
      </c>
      <c r="D27" s="4"/>
      <c r="E27" s="12">
        <v>4.5999999999999996</v>
      </c>
      <c r="F27" s="3">
        <v>20</v>
      </c>
      <c r="G27" s="13" t="s">
        <v>66</v>
      </c>
      <c r="H27" s="1" t="s">
        <v>68</v>
      </c>
      <c r="I27" s="3" t="s">
        <v>24</v>
      </c>
      <c r="J27" s="3">
        <v>3.9</v>
      </c>
      <c r="K27" s="3">
        <v>3.5999999999999997E-2</v>
      </c>
      <c r="L27" s="23">
        <v>3</v>
      </c>
      <c r="M27" s="1" t="s">
        <v>64</v>
      </c>
      <c r="N27" s="1">
        <v>1967</v>
      </c>
      <c r="O27" s="13" t="s">
        <v>65</v>
      </c>
    </row>
    <row r="28" spans="1:15" x14ac:dyDescent="0.15">
      <c r="A28" s="24">
        <v>25</v>
      </c>
      <c r="B28" s="2" t="s">
        <v>74</v>
      </c>
      <c r="C28" s="4">
        <v>2.8999999999999998E-3</v>
      </c>
      <c r="D28" s="4"/>
      <c r="E28" s="12">
        <v>4.5999999999999996</v>
      </c>
      <c r="F28" s="3">
        <v>30</v>
      </c>
      <c r="G28" s="13" t="s">
        <v>66</v>
      </c>
      <c r="H28" s="1" t="s">
        <v>68</v>
      </c>
      <c r="I28" s="3" t="s">
        <v>24</v>
      </c>
      <c r="J28" s="5">
        <v>56</v>
      </c>
      <c r="K28" s="3">
        <v>0.51500000000000001</v>
      </c>
      <c r="L28" s="23">
        <v>3</v>
      </c>
      <c r="M28" s="1" t="s">
        <v>64</v>
      </c>
      <c r="N28" s="1">
        <v>1967</v>
      </c>
      <c r="O28" s="13" t="s">
        <v>65</v>
      </c>
    </row>
    <row r="29" spans="1:15" x14ac:dyDescent="0.15">
      <c r="A29" s="24">
        <v>26</v>
      </c>
      <c r="B29" s="2" t="s">
        <v>80</v>
      </c>
      <c r="C29" s="8">
        <v>60</v>
      </c>
      <c r="D29" s="8"/>
      <c r="E29" s="12">
        <v>3.8</v>
      </c>
      <c r="F29" s="3">
        <v>24.4</v>
      </c>
      <c r="G29" s="13" t="s">
        <v>646</v>
      </c>
      <c r="H29" s="1" t="s">
        <v>23</v>
      </c>
      <c r="I29" s="3" t="s">
        <v>24</v>
      </c>
      <c r="J29" s="3">
        <v>10</v>
      </c>
      <c r="K29" s="3">
        <v>0.01</v>
      </c>
      <c r="L29" s="23">
        <v>4</v>
      </c>
      <c r="M29" s="1" t="s">
        <v>77</v>
      </c>
      <c r="N29" s="1">
        <v>1972</v>
      </c>
      <c r="O29" s="13" t="s">
        <v>78</v>
      </c>
    </row>
    <row r="30" spans="1:15" x14ac:dyDescent="0.15">
      <c r="A30" s="24">
        <v>27</v>
      </c>
      <c r="B30" s="2" t="s">
        <v>544</v>
      </c>
      <c r="C30" s="3">
        <v>1000</v>
      </c>
      <c r="D30" s="3">
        <f>0.06*C30</f>
        <v>60</v>
      </c>
      <c r="E30" s="12" t="s">
        <v>82</v>
      </c>
      <c r="F30" s="3">
        <v>25</v>
      </c>
      <c r="G30" s="13" t="s">
        <v>647</v>
      </c>
      <c r="H30" s="1" t="s">
        <v>23</v>
      </c>
      <c r="I30" s="3" t="s">
        <v>645</v>
      </c>
      <c r="J30" s="3" t="s">
        <v>408</v>
      </c>
      <c r="K30" s="3" t="s">
        <v>408</v>
      </c>
      <c r="L30" s="23">
        <v>5</v>
      </c>
      <c r="M30" s="1" t="s">
        <v>77</v>
      </c>
      <c r="N30" s="1">
        <v>1973</v>
      </c>
      <c r="O30" s="13" t="s">
        <v>79</v>
      </c>
    </row>
    <row r="31" spans="1:15" x14ac:dyDescent="0.15">
      <c r="A31" s="24">
        <v>28</v>
      </c>
      <c r="B31" s="2" t="s">
        <v>543</v>
      </c>
      <c r="C31" s="3">
        <v>1180</v>
      </c>
      <c r="D31" s="5">
        <f>0.06*C31</f>
        <v>70.8</v>
      </c>
      <c r="E31" s="12" t="s">
        <v>83</v>
      </c>
      <c r="F31" s="3">
        <v>25</v>
      </c>
      <c r="G31" s="13" t="s">
        <v>647</v>
      </c>
      <c r="H31" s="1" t="s">
        <v>23</v>
      </c>
      <c r="I31" s="3" t="s">
        <v>645</v>
      </c>
      <c r="J31" s="3" t="s">
        <v>408</v>
      </c>
      <c r="K31" s="3" t="s">
        <v>408</v>
      </c>
      <c r="L31" s="23">
        <v>5</v>
      </c>
      <c r="M31" s="1" t="s">
        <v>77</v>
      </c>
      <c r="N31" s="1">
        <v>1973</v>
      </c>
      <c r="O31" s="13" t="s">
        <v>79</v>
      </c>
    </row>
    <row r="32" spans="1:15" x14ac:dyDescent="0.15">
      <c r="A32" s="24">
        <v>29</v>
      </c>
      <c r="B32" s="2" t="s">
        <v>86</v>
      </c>
      <c r="C32" s="8">
        <v>10</v>
      </c>
      <c r="D32" s="8">
        <v>0.2</v>
      </c>
      <c r="E32" s="12" t="s">
        <v>85</v>
      </c>
      <c r="F32" s="3">
        <v>25</v>
      </c>
      <c r="G32" s="13" t="s">
        <v>647</v>
      </c>
      <c r="H32" s="1" t="s">
        <v>23</v>
      </c>
      <c r="I32" s="3" t="s">
        <v>24</v>
      </c>
      <c r="J32" s="3">
        <v>10</v>
      </c>
      <c r="K32" s="4">
        <v>1.4999999999999999E-2</v>
      </c>
      <c r="L32" s="36">
        <v>6</v>
      </c>
      <c r="M32" s="1" t="s">
        <v>77</v>
      </c>
      <c r="N32" s="1">
        <v>1973</v>
      </c>
      <c r="O32" s="13" t="s">
        <v>84</v>
      </c>
    </row>
    <row r="33" spans="1:15" x14ac:dyDescent="0.15">
      <c r="A33" s="24">
        <v>30</v>
      </c>
      <c r="B33" s="2" t="s">
        <v>87</v>
      </c>
      <c r="C33" s="8">
        <v>12.5</v>
      </c>
      <c r="D33" s="8">
        <v>0.8</v>
      </c>
      <c r="E33" s="12" t="s">
        <v>85</v>
      </c>
      <c r="F33" s="3">
        <v>25</v>
      </c>
      <c r="G33" s="13" t="s">
        <v>647</v>
      </c>
      <c r="H33" s="1" t="s">
        <v>23</v>
      </c>
      <c r="I33" s="3" t="s">
        <v>24</v>
      </c>
      <c r="J33" s="3">
        <v>10</v>
      </c>
      <c r="K33" s="4">
        <v>1.4999999999999999E-2</v>
      </c>
      <c r="L33" s="36">
        <v>6</v>
      </c>
      <c r="M33" s="1" t="s">
        <v>77</v>
      </c>
      <c r="N33" s="1">
        <v>1973</v>
      </c>
      <c r="O33" s="13" t="s">
        <v>84</v>
      </c>
    </row>
    <row r="34" spans="1:15" x14ac:dyDescent="0.15">
      <c r="A34" s="24">
        <v>31</v>
      </c>
      <c r="B34" s="2" t="s">
        <v>88</v>
      </c>
      <c r="C34" s="8">
        <v>11.5</v>
      </c>
      <c r="D34" s="8"/>
      <c r="E34" s="12">
        <v>1</v>
      </c>
      <c r="F34" s="3">
        <v>25</v>
      </c>
      <c r="G34" s="13" t="s">
        <v>648</v>
      </c>
      <c r="H34" s="1" t="s">
        <v>23</v>
      </c>
      <c r="I34" s="3" t="s">
        <v>24</v>
      </c>
      <c r="J34" s="3">
        <v>10</v>
      </c>
      <c r="K34" s="4">
        <v>1.4999999999999999E-2</v>
      </c>
      <c r="L34" s="36">
        <v>6</v>
      </c>
      <c r="M34" s="1" t="s">
        <v>77</v>
      </c>
      <c r="N34" s="1">
        <v>1973</v>
      </c>
      <c r="O34" s="13" t="s">
        <v>84</v>
      </c>
    </row>
    <row r="35" spans="1:15" x14ac:dyDescent="0.15">
      <c r="A35" s="24">
        <v>32</v>
      </c>
      <c r="B35" s="2" t="s">
        <v>89</v>
      </c>
      <c r="C35" s="8">
        <v>11.5</v>
      </c>
      <c r="D35" s="8"/>
      <c r="E35" s="12">
        <v>1</v>
      </c>
      <c r="F35" s="3">
        <v>25</v>
      </c>
      <c r="G35" s="13" t="s">
        <v>648</v>
      </c>
      <c r="H35" s="1" t="s">
        <v>23</v>
      </c>
      <c r="I35" s="3" t="s">
        <v>24</v>
      </c>
      <c r="J35" s="3">
        <v>10</v>
      </c>
      <c r="K35" s="4">
        <v>1.4999999999999999E-2</v>
      </c>
      <c r="L35" s="36">
        <v>6</v>
      </c>
      <c r="M35" s="1" t="s">
        <v>77</v>
      </c>
      <c r="N35" s="1">
        <v>1973</v>
      </c>
      <c r="O35" s="13" t="s">
        <v>84</v>
      </c>
    </row>
    <row r="36" spans="1:15" x14ac:dyDescent="0.15">
      <c r="A36" s="24">
        <v>33</v>
      </c>
      <c r="B36" s="2" t="s">
        <v>546</v>
      </c>
      <c r="C36" s="5">
        <v>310</v>
      </c>
      <c r="D36" s="5">
        <f t="shared" ref="D36:D38" si="0">0.08*C36</f>
        <v>24.8</v>
      </c>
      <c r="E36" s="12" t="s">
        <v>651</v>
      </c>
      <c r="F36" s="3">
        <v>25</v>
      </c>
      <c r="G36" s="13" t="s">
        <v>81</v>
      </c>
      <c r="H36" s="1" t="s">
        <v>23</v>
      </c>
      <c r="I36" s="3" t="s">
        <v>645</v>
      </c>
      <c r="J36" s="3" t="s">
        <v>408</v>
      </c>
      <c r="K36" s="3" t="s">
        <v>408</v>
      </c>
      <c r="L36" s="36">
        <v>7</v>
      </c>
      <c r="M36" s="1" t="s">
        <v>92</v>
      </c>
      <c r="N36" s="1">
        <v>1976</v>
      </c>
      <c r="O36" s="13" t="s">
        <v>91</v>
      </c>
    </row>
    <row r="37" spans="1:15" x14ac:dyDescent="0.15">
      <c r="A37" s="24">
        <v>34</v>
      </c>
      <c r="B37" s="2" t="s">
        <v>545</v>
      </c>
      <c r="C37" s="8">
        <v>98</v>
      </c>
      <c r="D37" s="8">
        <f t="shared" si="0"/>
        <v>7.84</v>
      </c>
      <c r="E37" s="12" t="s">
        <v>649</v>
      </c>
      <c r="F37" s="3">
        <v>25</v>
      </c>
      <c r="G37" s="13" t="s">
        <v>81</v>
      </c>
      <c r="H37" s="1" t="s">
        <v>23</v>
      </c>
      <c r="I37" s="3" t="s">
        <v>645</v>
      </c>
      <c r="J37" s="3" t="s">
        <v>408</v>
      </c>
      <c r="K37" s="3" t="s">
        <v>408</v>
      </c>
      <c r="L37" s="36">
        <v>7</v>
      </c>
      <c r="M37" s="1" t="s">
        <v>92</v>
      </c>
      <c r="N37" s="1">
        <v>1976</v>
      </c>
      <c r="O37" s="13" t="s">
        <v>91</v>
      </c>
    </row>
    <row r="38" spans="1:15" x14ac:dyDescent="0.15">
      <c r="A38" s="24">
        <v>35</v>
      </c>
      <c r="B38" s="2" t="s">
        <v>542</v>
      </c>
      <c r="C38" s="8">
        <v>54</v>
      </c>
      <c r="D38" s="8">
        <f t="shared" si="0"/>
        <v>4.32</v>
      </c>
      <c r="E38" s="12" t="s">
        <v>650</v>
      </c>
      <c r="F38" s="3">
        <v>25</v>
      </c>
      <c r="G38" s="13" t="s">
        <v>81</v>
      </c>
      <c r="H38" s="1" t="s">
        <v>23</v>
      </c>
      <c r="I38" s="3" t="s">
        <v>645</v>
      </c>
      <c r="J38" s="3" t="s">
        <v>408</v>
      </c>
      <c r="K38" s="3" t="s">
        <v>408</v>
      </c>
      <c r="L38" s="36">
        <v>7</v>
      </c>
      <c r="M38" s="1" t="s">
        <v>92</v>
      </c>
      <c r="N38" s="1">
        <v>1976</v>
      </c>
      <c r="O38" s="13" t="s">
        <v>91</v>
      </c>
    </row>
    <row r="39" spans="1:15" x14ac:dyDescent="0.15">
      <c r="A39" s="24">
        <v>36</v>
      </c>
      <c r="B39" s="2" t="s">
        <v>531</v>
      </c>
      <c r="C39" s="7">
        <f>0.0978</f>
        <v>9.7799999999999998E-2</v>
      </c>
      <c r="D39" s="7"/>
      <c r="E39" s="12">
        <v>6.8</v>
      </c>
      <c r="F39" s="3">
        <v>35</v>
      </c>
      <c r="G39" s="13" t="s">
        <v>652</v>
      </c>
      <c r="H39" s="1" t="s">
        <v>68</v>
      </c>
      <c r="I39" s="3" t="s">
        <v>24</v>
      </c>
      <c r="J39" s="5">
        <f>K39/0.0002</f>
        <v>5.2549999999999999</v>
      </c>
      <c r="K39" s="96">
        <v>1.0510000000000001E-3</v>
      </c>
      <c r="L39" s="23">
        <v>8</v>
      </c>
      <c r="M39" s="1" t="s">
        <v>94</v>
      </c>
      <c r="N39" s="1">
        <v>1976</v>
      </c>
      <c r="O39" s="13" t="s">
        <v>95</v>
      </c>
    </row>
    <row r="40" spans="1:15" x14ac:dyDescent="0.15">
      <c r="A40" s="24">
        <v>37</v>
      </c>
      <c r="B40" s="2" t="s">
        <v>528</v>
      </c>
      <c r="C40" s="6">
        <f>0.8696</f>
        <v>0.86960000000000004</v>
      </c>
      <c r="D40" s="6"/>
      <c r="E40" s="12">
        <v>6.8</v>
      </c>
      <c r="F40" s="3">
        <v>35</v>
      </c>
      <c r="G40" s="13" t="s">
        <v>652</v>
      </c>
      <c r="H40" s="1" t="s">
        <v>68</v>
      </c>
      <c r="I40" s="3" t="s">
        <v>24</v>
      </c>
      <c r="J40" s="5">
        <f t="shared" ref="J40:J44" si="1">K40/0.0002</f>
        <v>5.5750000000000002</v>
      </c>
      <c r="K40" s="40">
        <v>1.1150000000000001E-3</v>
      </c>
      <c r="L40" s="23">
        <v>8</v>
      </c>
      <c r="M40" s="1" t="s">
        <v>94</v>
      </c>
      <c r="N40" s="1">
        <v>1976</v>
      </c>
      <c r="O40" s="13" t="s">
        <v>95</v>
      </c>
    </row>
    <row r="41" spans="1:15" x14ac:dyDescent="0.15">
      <c r="A41" s="24">
        <v>38</v>
      </c>
      <c r="B41" s="2" t="s">
        <v>525</v>
      </c>
      <c r="C41" s="6">
        <f>0.305</f>
        <v>0.30499999999999999</v>
      </c>
      <c r="D41" s="6"/>
      <c r="E41" s="12">
        <v>6.8</v>
      </c>
      <c r="F41" s="3">
        <v>35</v>
      </c>
      <c r="G41" s="13" t="s">
        <v>652</v>
      </c>
      <c r="H41" s="1" t="s">
        <v>68</v>
      </c>
      <c r="I41" s="3" t="s">
        <v>24</v>
      </c>
      <c r="J41" s="5">
        <f t="shared" si="1"/>
        <v>6.2749999999999995</v>
      </c>
      <c r="K41" s="3">
        <v>1.255E-3</v>
      </c>
      <c r="L41" s="23">
        <v>8</v>
      </c>
      <c r="M41" s="1" t="s">
        <v>94</v>
      </c>
      <c r="N41" s="1">
        <v>1976</v>
      </c>
      <c r="O41" s="13" t="s">
        <v>95</v>
      </c>
    </row>
    <row r="42" spans="1:15" x14ac:dyDescent="0.15">
      <c r="A42" s="24">
        <v>39</v>
      </c>
      <c r="B42" s="2" t="s">
        <v>530</v>
      </c>
      <c r="C42" s="7">
        <f>0.0116</f>
        <v>1.1599999999999999E-2</v>
      </c>
      <c r="D42" s="7"/>
      <c r="E42" s="12">
        <v>6.8</v>
      </c>
      <c r="F42" s="3">
        <v>35</v>
      </c>
      <c r="G42" s="13" t="s">
        <v>652</v>
      </c>
      <c r="H42" s="1" t="s">
        <v>68</v>
      </c>
      <c r="I42" s="3" t="s">
        <v>24</v>
      </c>
      <c r="J42" s="5">
        <f t="shared" si="1"/>
        <v>5.47</v>
      </c>
      <c r="K42" s="3">
        <v>1.0939999999999999E-3</v>
      </c>
      <c r="L42" s="23">
        <v>8</v>
      </c>
      <c r="M42" s="1" t="s">
        <v>94</v>
      </c>
      <c r="N42" s="1">
        <v>1976</v>
      </c>
      <c r="O42" s="13" t="s">
        <v>95</v>
      </c>
    </row>
    <row r="43" spans="1:15" x14ac:dyDescent="0.15">
      <c r="A43" s="24">
        <v>40</v>
      </c>
      <c r="B43" s="2" t="s">
        <v>527</v>
      </c>
      <c r="C43" s="6">
        <f>0.1782</f>
        <v>0.1782</v>
      </c>
      <c r="D43" s="6"/>
      <c r="E43" s="12">
        <v>6.8</v>
      </c>
      <c r="F43" s="3">
        <v>35</v>
      </c>
      <c r="G43" s="13" t="s">
        <v>652</v>
      </c>
      <c r="H43" s="1" t="s">
        <v>68</v>
      </c>
      <c r="I43" s="3" t="s">
        <v>24</v>
      </c>
      <c r="J43" s="5">
        <f t="shared" si="1"/>
        <v>5.8</v>
      </c>
      <c r="K43" s="3">
        <v>1.16E-3</v>
      </c>
      <c r="L43" s="23">
        <v>8</v>
      </c>
      <c r="M43" s="1" t="s">
        <v>94</v>
      </c>
      <c r="N43" s="1">
        <v>1976</v>
      </c>
      <c r="O43" s="13" t="s">
        <v>95</v>
      </c>
    </row>
    <row r="44" spans="1:15" x14ac:dyDescent="0.15">
      <c r="A44" s="24">
        <v>41</v>
      </c>
      <c r="B44" s="2" t="s">
        <v>524</v>
      </c>
      <c r="C44" s="7">
        <f>0.0346</f>
        <v>3.4599999999999999E-2</v>
      </c>
      <c r="D44" s="7"/>
      <c r="E44" s="12">
        <v>6.8</v>
      </c>
      <c r="F44" s="3">
        <v>35</v>
      </c>
      <c r="G44" s="13" t="s">
        <v>652</v>
      </c>
      <c r="H44" s="1" t="s">
        <v>68</v>
      </c>
      <c r="I44" s="3" t="s">
        <v>24</v>
      </c>
      <c r="J44" s="5">
        <f t="shared" si="1"/>
        <v>5.2899999999999991</v>
      </c>
      <c r="K44" s="3">
        <v>1.0579999999999999E-3</v>
      </c>
      <c r="L44" s="23">
        <v>8</v>
      </c>
      <c r="M44" s="1" t="s">
        <v>94</v>
      </c>
      <c r="N44" s="1">
        <v>1976</v>
      </c>
      <c r="O44" s="13" t="s">
        <v>95</v>
      </c>
    </row>
    <row r="45" spans="1:15" x14ac:dyDescent="0.15">
      <c r="A45" s="24">
        <v>42</v>
      </c>
      <c r="B45" s="2" t="s">
        <v>653</v>
      </c>
      <c r="C45" s="8">
        <v>43.2</v>
      </c>
      <c r="D45" s="8">
        <f>0.05*C45</f>
        <v>2.16</v>
      </c>
      <c r="E45" s="12">
        <v>3.77</v>
      </c>
      <c r="F45" s="3">
        <v>25</v>
      </c>
      <c r="G45" s="13" t="s">
        <v>647</v>
      </c>
      <c r="H45" s="1" t="s">
        <v>23</v>
      </c>
      <c r="I45" s="3" t="s">
        <v>24</v>
      </c>
      <c r="J45" s="3" t="s">
        <v>655</v>
      </c>
      <c r="K45" s="3" t="s">
        <v>98</v>
      </c>
      <c r="L45" s="23">
        <v>9</v>
      </c>
      <c r="M45" s="1" t="s">
        <v>77</v>
      </c>
      <c r="N45" s="1">
        <v>1977</v>
      </c>
      <c r="O45" s="13" t="s">
        <v>96</v>
      </c>
    </row>
    <row r="46" spans="1:15" x14ac:dyDescent="0.15">
      <c r="A46" s="24">
        <v>43</v>
      </c>
      <c r="B46" s="2" t="s">
        <v>654</v>
      </c>
      <c r="C46" s="8">
        <v>11.6</v>
      </c>
      <c r="D46" s="8">
        <f>0.05*C46</f>
        <v>0.57999999999999996</v>
      </c>
      <c r="E46" s="12">
        <v>3.77</v>
      </c>
      <c r="F46" s="3">
        <v>25</v>
      </c>
      <c r="G46" s="13" t="s">
        <v>647</v>
      </c>
      <c r="H46" s="1" t="s">
        <v>23</v>
      </c>
      <c r="I46" s="3" t="s">
        <v>24</v>
      </c>
      <c r="J46" s="3" t="s">
        <v>97</v>
      </c>
      <c r="K46" s="3" t="s">
        <v>99</v>
      </c>
      <c r="L46" s="23">
        <v>9</v>
      </c>
      <c r="M46" s="1" t="s">
        <v>77</v>
      </c>
      <c r="N46" s="1">
        <v>1977</v>
      </c>
      <c r="O46" s="13" t="s">
        <v>96</v>
      </c>
    </row>
    <row r="47" spans="1:15" x14ac:dyDescent="0.15">
      <c r="A47" s="24">
        <v>44</v>
      </c>
      <c r="B47" s="2" t="s">
        <v>104</v>
      </c>
      <c r="C47" s="6">
        <v>4</v>
      </c>
      <c r="D47" s="6">
        <f t="shared" ref="D47:D50" si="2">0.08*C47</f>
        <v>0.32</v>
      </c>
      <c r="E47" s="12" t="s">
        <v>651</v>
      </c>
      <c r="F47" s="3">
        <v>25</v>
      </c>
      <c r="G47" s="13" t="s">
        <v>647</v>
      </c>
      <c r="H47" s="1" t="s">
        <v>23</v>
      </c>
      <c r="I47" s="3" t="s">
        <v>645</v>
      </c>
      <c r="J47" s="3" t="s">
        <v>408</v>
      </c>
      <c r="K47" s="3" t="s">
        <v>408</v>
      </c>
      <c r="L47" s="23">
        <v>10</v>
      </c>
      <c r="M47" s="1" t="s">
        <v>101</v>
      </c>
      <c r="N47" s="1">
        <v>1977</v>
      </c>
      <c r="O47" s="13" t="s">
        <v>100</v>
      </c>
    </row>
    <row r="48" spans="1:15" x14ac:dyDescent="0.15">
      <c r="A48" s="24">
        <v>45</v>
      </c>
      <c r="B48" s="2" t="s">
        <v>103</v>
      </c>
      <c r="C48" s="6">
        <v>3.7</v>
      </c>
      <c r="D48" s="6">
        <f t="shared" si="2"/>
        <v>0.29600000000000004</v>
      </c>
      <c r="E48" s="12" t="s">
        <v>656</v>
      </c>
      <c r="F48" s="3">
        <v>25</v>
      </c>
      <c r="G48" s="13" t="s">
        <v>647</v>
      </c>
      <c r="H48" s="1" t="s">
        <v>23</v>
      </c>
      <c r="I48" s="3" t="s">
        <v>645</v>
      </c>
      <c r="J48" s="3" t="s">
        <v>408</v>
      </c>
      <c r="K48" s="3" t="s">
        <v>408</v>
      </c>
      <c r="L48" s="23">
        <v>10</v>
      </c>
      <c r="M48" s="1" t="s">
        <v>101</v>
      </c>
      <c r="N48" s="1">
        <v>1977</v>
      </c>
      <c r="O48" s="13" t="s">
        <v>100</v>
      </c>
    </row>
    <row r="49" spans="1:15" x14ac:dyDescent="0.15">
      <c r="A49" s="24">
        <v>46</v>
      </c>
      <c r="B49" s="2" t="s">
        <v>102</v>
      </c>
      <c r="C49" s="6">
        <v>2.7</v>
      </c>
      <c r="D49" s="6">
        <f t="shared" si="2"/>
        <v>0.21600000000000003</v>
      </c>
      <c r="E49" s="12" t="s">
        <v>106</v>
      </c>
      <c r="F49" s="3">
        <v>25</v>
      </c>
      <c r="G49" s="13" t="s">
        <v>647</v>
      </c>
      <c r="H49" s="1" t="s">
        <v>23</v>
      </c>
      <c r="I49" s="3" t="s">
        <v>645</v>
      </c>
      <c r="J49" s="3" t="s">
        <v>408</v>
      </c>
      <c r="K49" s="3" t="s">
        <v>408</v>
      </c>
      <c r="L49" s="23">
        <v>10</v>
      </c>
      <c r="M49" s="1" t="s">
        <v>101</v>
      </c>
      <c r="N49" s="1">
        <v>1977</v>
      </c>
      <c r="O49" s="13" t="s">
        <v>100</v>
      </c>
    </row>
    <row r="50" spans="1:15" x14ac:dyDescent="0.15">
      <c r="A50" s="24">
        <v>47</v>
      </c>
      <c r="B50" s="2" t="s">
        <v>105</v>
      </c>
      <c r="C50" s="7">
        <v>3.6999999999999998E-2</v>
      </c>
      <c r="D50" s="7">
        <f t="shared" si="2"/>
        <v>2.96E-3</v>
      </c>
      <c r="E50" s="12" t="s">
        <v>657</v>
      </c>
      <c r="F50" s="3">
        <v>25</v>
      </c>
      <c r="G50" s="13" t="s">
        <v>647</v>
      </c>
      <c r="H50" s="1" t="s">
        <v>23</v>
      </c>
      <c r="I50" s="3" t="s">
        <v>645</v>
      </c>
      <c r="J50" s="3" t="s">
        <v>408</v>
      </c>
      <c r="K50" s="3" t="s">
        <v>408</v>
      </c>
      <c r="L50" s="23">
        <v>10</v>
      </c>
      <c r="M50" s="1" t="s">
        <v>101</v>
      </c>
      <c r="N50" s="1">
        <v>1977</v>
      </c>
      <c r="O50" s="13" t="s">
        <v>100</v>
      </c>
    </row>
    <row r="51" spans="1:15" x14ac:dyDescent="0.15">
      <c r="A51" s="24">
        <v>48</v>
      </c>
      <c r="B51" s="2" t="s">
        <v>113</v>
      </c>
      <c r="C51" s="6">
        <v>1.93</v>
      </c>
      <c r="D51" s="6"/>
      <c r="E51" s="12">
        <v>6.7</v>
      </c>
      <c r="F51" s="3">
        <v>25</v>
      </c>
      <c r="G51" s="13" t="s">
        <v>112</v>
      </c>
      <c r="H51" s="1" t="s">
        <v>23</v>
      </c>
      <c r="I51" s="3" t="s">
        <v>24</v>
      </c>
      <c r="J51" s="3">
        <v>10</v>
      </c>
      <c r="K51" s="3">
        <v>4.0000000000000001E-3</v>
      </c>
      <c r="L51" s="23">
        <v>11</v>
      </c>
      <c r="M51" s="1" t="s">
        <v>111</v>
      </c>
      <c r="N51" s="1">
        <v>1981</v>
      </c>
      <c r="O51" s="13" t="s">
        <v>110</v>
      </c>
    </row>
    <row r="52" spans="1:15" x14ac:dyDescent="0.15">
      <c r="A52" s="24">
        <v>49</v>
      </c>
      <c r="B52" s="2" t="s">
        <v>538</v>
      </c>
      <c r="C52" s="8">
        <v>16.100000000000001</v>
      </c>
      <c r="D52" s="8"/>
      <c r="E52" s="12">
        <v>6.7</v>
      </c>
      <c r="F52" s="3">
        <v>25</v>
      </c>
      <c r="G52" s="13" t="s">
        <v>112</v>
      </c>
      <c r="H52" s="1" t="s">
        <v>23</v>
      </c>
      <c r="I52" s="3" t="s">
        <v>24</v>
      </c>
      <c r="J52" s="3">
        <v>10</v>
      </c>
      <c r="K52" s="3">
        <v>4.0000000000000001E-3</v>
      </c>
      <c r="L52" s="23">
        <v>11</v>
      </c>
      <c r="M52" s="1" t="s">
        <v>111</v>
      </c>
      <c r="N52" s="1">
        <v>1981</v>
      </c>
      <c r="O52" s="13" t="s">
        <v>110</v>
      </c>
    </row>
    <row r="53" spans="1:15" x14ac:dyDescent="0.15">
      <c r="A53" s="24">
        <v>50</v>
      </c>
      <c r="B53" s="2" t="s">
        <v>540</v>
      </c>
      <c r="C53" s="7">
        <v>8.3000000000000004E-2</v>
      </c>
      <c r="D53" s="7"/>
      <c r="E53" s="12">
        <v>6.7</v>
      </c>
      <c r="F53" s="3">
        <v>25</v>
      </c>
      <c r="G53" s="13" t="s">
        <v>112</v>
      </c>
      <c r="H53" s="1" t="s">
        <v>23</v>
      </c>
      <c r="I53" s="3" t="s">
        <v>24</v>
      </c>
      <c r="J53" s="3">
        <v>10</v>
      </c>
      <c r="K53" s="3">
        <v>4.0000000000000001E-3</v>
      </c>
      <c r="L53" s="23">
        <v>11</v>
      </c>
      <c r="M53" s="1" t="s">
        <v>111</v>
      </c>
      <c r="N53" s="1">
        <v>1981</v>
      </c>
      <c r="O53" s="13" t="s">
        <v>110</v>
      </c>
    </row>
    <row r="54" spans="1:15" x14ac:dyDescent="0.15">
      <c r="A54" s="24">
        <v>51</v>
      </c>
      <c r="B54" s="2" t="s">
        <v>536</v>
      </c>
      <c r="C54" s="8">
        <v>70.599999999999994</v>
      </c>
      <c r="D54" s="8"/>
      <c r="E54" s="12">
        <v>6.7</v>
      </c>
      <c r="F54" s="3">
        <v>25</v>
      </c>
      <c r="G54" s="13" t="s">
        <v>112</v>
      </c>
      <c r="H54" s="1" t="s">
        <v>23</v>
      </c>
      <c r="I54" s="3" t="s">
        <v>24</v>
      </c>
      <c r="J54" s="3">
        <v>10</v>
      </c>
      <c r="K54" s="3">
        <v>4.0000000000000001E-3</v>
      </c>
      <c r="L54" s="23">
        <v>11</v>
      </c>
      <c r="M54" s="1" t="s">
        <v>111</v>
      </c>
      <c r="N54" s="1">
        <v>1981</v>
      </c>
      <c r="O54" s="13" t="s">
        <v>110</v>
      </c>
    </row>
    <row r="55" spans="1:15" x14ac:dyDescent="0.15">
      <c r="A55" s="24">
        <v>52</v>
      </c>
      <c r="B55" s="2" t="s">
        <v>535</v>
      </c>
      <c r="C55" s="8">
        <v>11</v>
      </c>
      <c r="D55" s="8"/>
      <c r="E55" s="12">
        <v>6.7</v>
      </c>
      <c r="F55" s="3">
        <v>25</v>
      </c>
      <c r="G55" s="13" t="s">
        <v>112</v>
      </c>
      <c r="H55" s="1" t="s">
        <v>23</v>
      </c>
      <c r="I55" s="3" t="s">
        <v>24</v>
      </c>
      <c r="J55" s="3">
        <v>10</v>
      </c>
      <c r="K55" s="3">
        <v>4.0000000000000001E-3</v>
      </c>
      <c r="L55" s="23">
        <v>11</v>
      </c>
      <c r="M55" s="1" t="s">
        <v>111</v>
      </c>
      <c r="N55" s="1">
        <v>1981</v>
      </c>
      <c r="O55" s="13" t="s">
        <v>110</v>
      </c>
    </row>
    <row r="56" spans="1:15" x14ac:dyDescent="0.15">
      <c r="A56" s="24">
        <v>53</v>
      </c>
      <c r="B56" s="2" t="s">
        <v>534</v>
      </c>
      <c r="C56" s="8">
        <v>13.7</v>
      </c>
      <c r="D56" s="8"/>
      <c r="E56" s="12">
        <v>6.7</v>
      </c>
      <c r="F56" s="3">
        <v>25</v>
      </c>
      <c r="G56" s="13" t="s">
        <v>112</v>
      </c>
      <c r="H56" s="1" t="s">
        <v>23</v>
      </c>
      <c r="I56" s="3" t="s">
        <v>24</v>
      </c>
      <c r="J56" s="3">
        <v>10</v>
      </c>
      <c r="K56" s="3">
        <v>4.0000000000000001E-3</v>
      </c>
      <c r="L56" s="23">
        <v>11</v>
      </c>
      <c r="M56" s="1" t="s">
        <v>111</v>
      </c>
      <c r="N56" s="1">
        <v>1981</v>
      </c>
      <c r="O56" s="13" t="s">
        <v>110</v>
      </c>
    </row>
    <row r="57" spans="1:15" x14ac:dyDescent="0.15">
      <c r="A57" s="24">
        <v>54</v>
      </c>
      <c r="B57" s="2" t="s">
        <v>537</v>
      </c>
      <c r="C57" s="8">
        <v>16.100000000000001</v>
      </c>
      <c r="D57" s="8"/>
      <c r="E57" s="12">
        <v>6.7</v>
      </c>
      <c r="F57" s="3">
        <v>25</v>
      </c>
      <c r="G57" s="13" t="s">
        <v>112</v>
      </c>
      <c r="H57" s="1" t="s">
        <v>23</v>
      </c>
      <c r="I57" s="3" t="s">
        <v>24</v>
      </c>
      <c r="J57" s="3">
        <v>10</v>
      </c>
      <c r="K57" s="3">
        <v>4.0000000000000001E-3</v>
      </c>
      <c r="L57" s="23">
        <v>11</v>
      </c>
      <c r="M57" s="1" t="s">
        <v>111</v>
      </c>
      <c r="N57" s="1">
        <v>1981</v>
      </c>
      <c r="O57" s="13" t="s">
        <v>110</v>
      </c>
    </row>
    <row r="58" spans="1:15" x14ac:dyDescent="0.15">
      <c r="A58" s="24">
        <v>55</v>
      </c>
      <c r="B58" s="2" t="s">
        <v>533</v>
      </c>
      <c r="C58" s="6">
        <v>2.59</v>
      </c>
      <c r="D58" s="6"/>
      <c r="E58" s="12">
        <v>6.7</v>
      </c>
      <c r="F58" s="3">
        <v>25</v>
      </c>
      <c r="G58" s="13" t="s">
        <v>112</v>
      </c>
      <c r="H58" s="1" t="s">
        <v>23</v>
      </c>
      <c r="I58" s="3" t="s">
        <v>24</v>
      </c>
      <c r="J58" s="3">
        <v>10</v>
      </c>
      <c r="K58" s="3">
        <v>4.0000000000000001E-3</v>
      </c>
      <c r="L58" s="23">
        <v>11</v>
      </c>
      <c r="M58" s="1" t="s">
        <v>111</v>
      </c>
      <c r="N58" s="1">
        <v>1981</v>
      </c>
      <c r="O58" s="13" t="s">
        <v>110</v>
      </c>
    </row>
    <row r="59" spans="1:15" x14ac:dyDescent="0.15">
      <c r="A59" s="24">
        <v>56</v>
      </c>
      <c r="B59" s="2" t="s">
        <v>539</v>
      </c>
      <c r="C59" s="6">
        <v>2.62</v>
      </c>
      <c r="D59" s="6"/>
      <c r="E59" s="12">
        <v>6.7</v>
      </c>
      <c r="F59" s="3">
        <v>25</v>
      </c>
      <c r="G59" s="13" t="s">
        <v>112</v>
      </c>
      <c r="H59" s="1" t="s">
        <v>23</v>
      </c>
      <c r="I59" s="3" t="s">
        <v>24</v>
      </c>
      <c r="J59" s="3">
        <v>10</v>
      </c>
      <c r="K59" s="3">
        <v>4.0000000000000001E-3</v>
      </c>
      <c r="L59" s="23">
        <v>11</v>
      </c>
      <c r="M59" s="1" t="s">
        <v>111</v>
      </c>
      <c r="N59" s="1">
        <v>1981</v>
      </c>
      <c r="O59" s="13" t="s">
        <v>110</v>
      </c>
    </row>
    <row r="60" spans="1:15" x14ac:dyDescent="0.15">
      <c r="A60" s="24">
        <v>57</v>
      </c>
      <c r="B60" s="2" t="s">
        <v>642</v>
      </c>
      <c r="C60" s="5">
        <v>699</v>
      </c>
      <c r="D60" s="5">
        <v>11</v>
      </c>
      <c r="E60" s="12">
        <v>11.3</v>
      </c>
      <c r="F60" s="3">
        <v>25</v>
      </c>
      <c r="G60" s="13" t="s">
        <v>658</v>
      </c>
      <c r="H60" s="1" t="s">
        <v>23</v>
      </c>
      <c r="I60" s="3" t="s">
        <v>24</v>
      </c>
      <c r="J60" s="3">
        <v>10</v>
      </c>
      <c r="K60" s="3">
        <v>3.8E-3</v>
      </c>
      <c r="L60" s="23">
        <v>12</v>
      </c>
      <c r="M60" s="1" t="s">
        <v>117</v>
      </c>
      <c r="N60" s="1">
        <v>1985</v>
      </c>
      <c r="O60" s="13" t="s">
        <v>116</v>
      </c>
    </row>
    <row r="61" spans="1:15" x14ac:dyDescent="0.15">
      <c r="A61" s="24">
        <v>58</v>
      </c>
      <c r="B61" s="2" t="s">
        <v>641</v>
      </c>
      <c r="C61" s="5">
        <v>736</v>
      </c>
      <c r="D61" s="5">
        <v>18</v>
      </c>
      <c r="E61" s="12">
        <v>11.3</v>
      </c>
      <c r="F61" s="3">
        <v>25</v>
      </c>
      <c r="G61" s="13" t="s">
        <v>658</v>
      </c>
      <c r="H61" s="1" t="s">
        <v>23</v>
      </c>
      <c r="I61" s="3" t="s">
        <v>24</v>
      </c>
      <c r="J61" s="3">
        <v>20</v>
      </c>
      <c r="K61" s="3">
        <v>7.6E-3</v>
      </c>
      <c r="L61" s="23">
        <v>12</v>
      </c>
      <c r="M61" s="1" t="s">
        <v>117</v>
      </c>
      <c r="N61" s="1">
        <v>1985</v>
      </c>
      <c r="O61" s="13" t="s">
        <v>116</v>
      </c>
    </row>
    <row r="62" spans="1:15" x14ac:dyDescent="0.15">
      <c r="A62" s="24">
        <v>59</v>
      </c>
      <c r="B62" s="2" t="s">
        <v>733</v>
      </c>
      <c r="C62" s="5">
        <v>880</v>
      </c>
      <c r="D62" s="5">
        <v>16</v>
      </c>
      <c r="E62" s="12">
        <v>11.3</v>
      </c>
      <c r="F62" s="3">
        <v>25</v>
      </c>
      <c r="G62" s="13" t="s">
        <v>658</v>
      </c>
      <c r="H62" s="1" t="s">
        <v>23</v>
      </c>
      <c r="I62" s="3" t="s">
        <v>24</v>
      </c>
      <c r="J62" s="3">
        <v>20</v>
      </c>
      <c r="K62" s="3">
        <v>7.6E-3</v>
      </c>
      <c r="L62" s="23">
        <v>12</v>
      </c>
      <c r="M62" s="1" t="s">
        <v>117</v>
      </c>
      <c r="N62" s="1">
        <v>1985</v>
      </c>
      <c r="O62" s="13" t="s">
        <v>116</v>
      </c>
    </row>
    <row r="63" spans="1:15" x14ac:dyDescent="0.15">
      <c r="A63" s="24">
        <v>60</v>
      </c>
      <c r="B63" s="2" t="s">
        <v>734</v>
      </c>
      <c r="C63" s="5">
        <v>678</v>
      </c>
      <c r="D63" s="5">
        <v>16</v>
      </c>
      <c r="E63" s="12">
        <v>11.3</v>
      </c>
      <c r="F63" s="3">
        <v>25</v>
      </c>
      <c r="G63" s="13" t="s">
        <v>658</v>
      </c>
      <c r="H63" s="1" t="s">
        <v>23</v>
      </c>
      <c r="I63" s="3" t="s">
        <v>24</v>
      </c>
      <c r="J63" s="3">
        <v>20</v>
      </c>
      <c r="K63" s="3">
        <v>7.6E-3</v>
      </c>
      <c r="L63" s="23">
        <v>12</v>
      </c>
      <c r="M63" s="1" t="s">
        <v>117</v>
      </c>
      <c r="N63" s="1">
        <v>1985</v>
      </c>
      <c r="O63" s="13" t="s">
        <v>116</v>
      </c>
    </row>
    <row r="64" spans="1:15" x14ac:dyDescent="0.15">
      <c r="A64" s="24">
        <v>61</v>
      </c>
      <c r="B64" s="2" t="s">
        <v>735</v>
      </c>
      <c r="C64" s="5">
        <v>855</v>
      </c>
      <c r="D64" s="5">
        <v>4</v>
      </c>
      <c r="E64" s="12">
        <v>11.3</v>
      </c>
      <c r="F64" s="3">
        <v>25</v>
      </c>
      <c r="G64" s="13" t="s">
        <v>658</v>
      </c>
      <c r="H64" s="1" t="s">
        <v>23</v>
      </c>
      <c r="I64" s="3" t="s">
        <v>24</v>
      </c>
      <c r="J64" s="3">
        <v>20</v>
      </c>
      <c r="K64" s="3">
        <v>7.6E-3</v>
      </c>
      <c r="L64" s="23">
        <v>12</v>
      </c>
      <c r="M64" s="1" t="s">
        <v>117</v>
      </c>
      <c r="N64" s="1">
        <v>1985</v>
      </c>
      <c r="O64" s="13" t="s">
        <v>116</v>
      </c>
    </row>
    <row r="65" spans="1:15" x14ac:dyDescent="0.15">
      <c r="A65" s="24">
        <v>62</v>
      </c>
      <c r="B65" s="2" t="s">
        <v>736</v>
      </c>
      <c r="C65" s="5">
        <v>684</v>
      </c>
      <c r="D65" s="5">
        <v>2</v>
      </c>
      <c r="E65" s="12">
        <v>13.7</v>
      </c>
      <c r="F65" s="3">
        <v>15</v>
      </c>
      <c r="G65" s="13" t="s">
        <v>118</v>
      </c>
      <c r="H65" s="1" t="s">
        <v>23</v>
      </c>
      <c r="I65" s="3" t="s">
        <v>24</v>
      </c>
      <c r="J65" s="3">
        <v>20</v>
      </c>
      <c r="K65" s="3">
        <v>7.6E-3</v>
      </c>
      <c r="L65" s="23">
        <v>12</v>
      </c>
      <c r="M65" s="1" t="s">
        <v>117</v>
      </c>
      <c r="N65" s="1">
        <v>1985</v>
      </c>
      <c r="O65" s="13" t="s">
        <v>116</v>
      </c>
    </row>
    <row r="66" spans="1:15" x14ac:dyDescent="0.15">
      <c r="A66" s="24">
        <v>63</v>
      </c>
      <c r="B66" s="2" t="s">
        <v>737</v>
      </c>
      <c r="C66" s="5">
        <v>834</v>
      </c>
      <c r="D66" s="5">
        <v>39</v>
      </c>
      <c r="E66" s="12">
        <v>11.3</v>
      </c>
      <c r="F66" s="3">
        <v>25</v>
      </c>
      <c r="G66" s="13" t="s">
        <v>658</v>
      </c>
      <c r="H66" s="1" t="s">
        <v>23</v>
      </c>
      <c r="I66" s="3" t="s">
        <v>24</v>
      </c>
      <c r="J66" s="3">
        <v>20</v>
      </c>
      <c r="K66" s="3">
        <v>7.6E-3</v>
      </c>
      <c r="L66" s="23">
        <v>12</v>
      </c>
      <c r="M66" s="1" t="s">
        <v>117</v>
      </c>
      <c r="N66" s="1">
        <v>1985</v>
      </c>
      <c r="O66" s="13" t="s">
        <v>116</v>
      </c>
    </row>
    <row r="67" spans="1:15" x14ac:dyDescent="0.15">
      <c r="A67" s="24">
        <v>64</v>
      </c>
      <c r="B67" s="2" t="s">
        <v>738</v>
      </c>
      <c r="C67" s="5">
        <v>965</v>
      </c>
      <c r="D67" s="5">
        <v>6</v>
      </c>
      <c r="E67" s="12">
        <v>11.3</v>
      </c>
      <c r="F67" s="3">
        <v>25</v>
      </c>
      <c r="G67" s="13" t="s">
        <v>658</v>
      </c>
      <c r="H67" s="1" t="s">
        <v>23</v>
      </c>
      <c r="I67" s="3" t="s">
        <v>24</v>
      </c>
      <c r="J67" s="3">
        <v>20</v>
      </c>
      <c r="K67" s="3">
        <v>7.6E-3</v>
      </c>
      <c r="L67" s="23">
        <v>12</v>
      </c>
      <c r="M67" s="1" t="s">
        <v>117</v>
      </c>
      <c r="N67" s="1">
        <v>1985</v>
      </c>
      <c r="O67" s="13" t="s">
        <v>116</v>
      </c>
    </row>
    <row r="68" spans="1:15" x14ac:dyDescent="0.15">
      <c r="A68" s="24">
        <v>65</v>
      </c>
      <c r="B68" s="2" t="s">
        <v>739</v>
      </c>
      <c r="C68" s="3">
        <v>1190</v>
      </c>
      <c r="D68" s="3">
        <v>20</v>
      </c>
      <c r="E68" s="12">
        <v>11.3</v>
      </c>
      <c r="F68" s="3">
        <v>25</v>
      </c>
      <c r="G68" s="13" t="s">
        <v>658</v>
      </c>
      <c r="H68" s="1" t="s">
        <v>23</v>
      </c>
      <c r="I68" s="3" t="s">
        <v>24</v>
      </c>
      <c r="J68" s="3">
        <v>20</v>
      </c>
      <c r="K68" s="3">
        <v>7.6E-3</v>
      </c>
      <c r="L68" s="23">
        <v>12</v>
      </c>
      <c r="M68" s="1" t="s">
        <v>117</v>
      </c>
      <c r="N68" s="1">
        <v>1985</v>
      </c>
      <c r="O68" s="13" t="s">
        <v>116</v>
      </c>
    </row>
    <row r="69" spans="1:15" x14ac:dyDescent="0.15">
      <c r="A69" s="24">
        <v>66</v>
      </c>
      <c r="B69" s="2" t="s">
        <v>122</v>
      </c>
      <c r="C69" s="4">
        <f>0.0007</f>
        <v>6.9999999999999999E-4</v>
      </c>
      <c r="D69" s="4"/>
      <c r="E69" s="39" t="s">
        <v>123</v>
      </c>
      <c r="F69" s="3">
        <v>20</v>
      </c>
      <c r="G69" s="13" t="s">
        <v>659</v>
      </c>
      <c r="H69" s="1" t="s">
        <v>23</v>
      </c>
      <c r="I69" s="3" t="s">
        <v>24</v>
      </c>
      <c r="J69" s="3">
        <v>18</v>
      </c>
      <c r="K69" s="3">
        <v>6.8999999999999999E-3</v>
      </c>
      <c r="L69" s="23">
        <v>13</v>
      </c>
      <c r="M69" s="1" t="s">
        <v>120</v>
      </c>
      <c r="N69" s="1">
        <v>1995</v>
      </c>
      <c r="O69" s="13" t="s">
        <v>121</v>
      </c>
    </row>
    <row r="70" spans="1:15" x14ac:dyDescent="0.15">
      <c r="A70" s="24">
        <v>67</v>
      </c>
      <c r="B70" s="2" t="s">
        <v>122</v>
      </c>
      <c r="C70" s="4">
        <v>1.7000000000000001E-4</v>
      </c>
      <c r="D70" s="4"/>
      <c r="E70" s="12">
        <v>7</v>
      </c>
      <c r="F70" s="3">
        <v>25</v>
      </c>
      <c r="G70" s="13" t="s">
        <v>127</v>
      </c>
      <c r="H70" s="1" t="s">
        <v>23</v>
      </c>
      <c r="I70" s="3" t="s">
        <v>24</v>
      </c>
      <c r="J70" s="3">
        <v>10</v>
      </c>
      <c r="K70" s="3">
        <v>4.1099999999999999E-3</v>
      </c>
      <c r="L70" s="23">
        <v>14</v>
      </c>
      <c r="M70" s="1" t="s">
        <v>125</v>
      </c>
      <c r="N70" s="1">
        <v>1996</v>
      </c>
      <c r="O70" s="13" t="s">
        <v>124</v>
      </c>
    </row>
    <row r="71" spans="1:15" x14ac:dyDescent="0.15">
      <c r="A71" s="24">
        <v>68</v>
      </c>
      <c r="B71" s="2" t="s">
        <v>126</v>
      </c>
      <c r="C71" s="4">
        <v>3.8999999999999998E-3</v>
      </c>
      <c r="D71" s="7"/>
      <c r="E71" s="12">
        <v>7</v>
      </c>
      <c r="F71" s="3">
        <v>25</v>
      </c>
      <c r="G71" s="13" t="s">
        <v>127</v>
      </c>
      <c r="H71" s="1" t="s">
        <v>23</v>
      </c>
      <c r="I71" s="3" t="s">
        <v>24</v>
      </c>
      <c r="J71" s="3">
        <v>14</v>
      </c>
      <c r="K71" s="3">
        <v>2.9299999999999999E-3</v>
      </c>
      <c r="L71" s="23">
        <v>14</v>
      </c>
      <c r="M71" s="1" t="s">
        <v>125</v>
      </c>
      <c r="N71" s="1">
        <v>1996</v>
      </c>
      <c r="O71" s="13" t="s">
        <v>124</v>
      </c>
    </row>
    <row r="72" spans="1:15" x14ac:dyDescent="0.15">
      <c r="A72" s="24">
        <v>69</v>
      </c>
      <c r="B72" s="2" t="s">
        <v>569</v>
      </c>
      <c r="C72" s="4">
        <v>7.7000000000000002E-3</v>
      </c>
      <c r="D72" s="7"/>
      <c r="E72" s="12">
        <v>7</v>
      </c>
      <c r="F72" s="3">
        <v>25</v>
      </c>
      <c r="G72" s="13" t="s">
        <v>127</v>
      </c>
      <c r="H72" s="1" t="s">
        <v>23</v>
      </c>
      <c r="I72" s="3" t="s">
        <v>24</v>
      </c>
      <c r="J72" s="3">
        <v>10</v>
      </c>
      <c r="K72" s="3">
        <v>1.15E-3</v>
      </c>
      <c r="L72" s="23">
        <v>14</v>
      </c>
      <c r="M72" s="1" t="s">
        <v>125</v>
      </c>
      <c r="N72" s="1">
        <v>1996</v>
      </c>
      <c r="O72" s="13" t="s">
        <v>124</v>
      </c>
    </row>
    <row r="73" spans="1:15" x14ac:dyDescent="0.15">
      <c r="A73" s="24">
        <v>70</v>
      </c>
      <c r="B73" s="2" t="s">
        <v>128</v>
      </c>
      <c r="C73" s="7">
        <v>2.1299999999999999E-2</v>
      </c>
      <c r="D73" s="6"/>
      <c r="E73" s="12">
        <v>7</v>
      </c>
      <c r="F73" s="3">
        <v>25</v>
      </c>
      <c r="G73" s="13" t="s">
        <v>127</v>
      </c>
      <c r="H73" s="1" t="s">
        <v>23</v>
      </c>
      <c r="I73" s="3" t="s">
        <v>24</v>
      </c>
      <c r="J73" s="3">
        <f>K73/0.000231</f>
        <v>10.389610389610388</v>
      </c>
      <c r="K73" s="3">
        <v>2.3999999999999998E-3</v>
      </c>
      <c r="L73" s="23">
        <v>14</v>
      </c>
      <c r="M73" s="1" t="s">
        <v>125</v>
      </c>
      <c r="N73" s="1">
        <v>1996</v>
      </c>
      <c r="O73" s="13" t="s">
        <v>124</v>
      </c>
    </row>
    <row r="74" spans="1:15" x14ac:dyDescent="0.15">
      <c r="A74" s="24">
        <v>71</v>
      </c>
      <c r="B74" s="2" t="s">
        <v>129</v>
      </c>
      <c r="C74" s="7">
        <v>3.1800000000000002E-2</v>
      </c>
      <c r="D74" s="7"/>
      <c r="E74" s="12">
        <v>7</v>
      </c>
      <c r="F74" s="3">
        <v>25</v>
      </c>
      <c r="G74" s="13" t="s">
        <v>127</v>
      </c>
      <c r="H74" s="1" t="s">
        <v>23</v>
      </c>
      <c r="I74" s="3" t="s">
        <v>24</v>
      </c>
      <c r="J74" s="3">
        <f>K74/0.000381</f>
        <v>11.522309711286089</v>
      </c>
      <c r="K74" s="3">
        <v>4.3899999999999998E-3</v>
      </c>
      <c r="L74" s="23">
        <v>14</v>
      </c>
      <c r="M74" s="1" t="s">
        <v>125</v>
      </c>
      <c r="N74" s="1">
        <v>1996</v>
      </c>
      <c r="O74" s="13" t="s">
        <v>124</v>
      </c>
    </row>
    <row r="75" spans="1:15" x14ac:dyDescent="0.15">
      <c r="A75" s="24">
        <v>72</v>
      </c>
      <c r="B75" s="2" t="s">
        <v>130</v>
      </c>
      <c r="C75" s="6">
        <v>0.33500000000000002</v>
      </c>
      <c r="D75" s="6"/>
      <c r="E75" s="12">
        <v>7</v>
      </c>
      <c r="F75" s="3">
        <v>25</v>
      </c>
      <c r="G75" s="13" t="s">
        <v>127</v>
      </c>
      <c r="H75" s="1" t="s">
        <v>23</v>
      </c>
      <c r="I75" s="3" t="s">
        <v>24</v>
      </c>
      <c r="J75" s="3">
        <f>K75/0.000381</f>
        <v>11.73228346456693</v>
      </c>
      <c r="K75" s="3">
        <v>4.47E-3</v>
      </c>
      <c r="L75" s="23">
        <v>14</v>
      </c>
      <c r="M75" s="1" t="s">
        <v>125</v>
      </c>
      <c r="N75" s="1">
        <v>1996</v>
      </c>
      <c r="O75" s="13" t="s">
        <v>124</v>
      </c>
    </row>
    <row r="76" spans="1:15" x14ac:dyDescent="0.15">
      <c r="A76" s="24">
        <v>73</v>
      </c>
      <c r="B76" s="2" t="s">
        <v>608</v>
      </c>
      <c r="C76" s="4">
        <v>8.3999999999999995E-3</v>
      </c>
      <c r="D76" s="4"/>
      <c r="E76" s="12">
        <v>8</v>
      </c>
      <c r="F76" s="3">
        <v>22</v>
      </c>
      <c r="G76" s="13" t="s">
        <v>135</v>
      </c>
      <c r="H76" s="1" t="s">
        <v>661</v>
      </c>
      <c r="I76" s="3" t="s">
        <v>133</v>
      </c>
      <c r="J76" s="3" t="s">
        <v>660</v>
      </c>
      <c r="K76" s="3" t="s">
        <v>134</v>
      </c>
      <c r="L76" s="23">
        <v>15</v>
      </c>
      <c r="M76" s="1" t="s">
        <v>131</v>
      </c>
      <c r="N76" s="1">
        <v>1998</v>
      </c>
      <c r="O76" s="13" t="s">
        <v>132</v>
      </c>
    </row>
    <row r="77" spans="1:15" x14ac:dyDescent="0.15">
      <c r="A77" s="24">
        <v>74</v>
      </c>
      <c r="B77" s="2" t="s">
        <v>607</v>
      </c>
      <c r="C77" s="6">
        <f>0.54/60/60/0.0007</f>
        <v>0.2142857142857143</v>
      </c>
      <c r="D77" s="6"/>
      <c r="E77" s="12">
        <v>8</v>
      </c>
      <c r="F77" s="3">
        <v>22</v>
      </c>
      <c r="G77" s="13" t="s">
        <v>135</v>
      </c>
      <c r="H77" s="1" t="s">
        <v>661</v>
      </c>
      <c r="I77" s="3" t="s">
        <v>133</v>
      </c>
      <c r="J77" s="3">
        <f>K77/(0.001/131.4)</f>
        <v>91.98</v>
      </c>
      <c r="K77" s="3">
        <v>6.9999999999999999E-4</v>
      </c>
      <c r="L77" s="23">
        <v>15</v>
      </c>
      <c r="M77" s="1" t="s">
        <v>131</v>
      </c>
      <c r="N77" s="1">
        <v>1998</v>
      </c>
      <c r="O77" s="13" t="s">
        <v>132</v>
      </c>
    </row>
    <row r="78" spans="1:15" x14ac:dyDescent="0.15">
      <c r="A78" s="24">
        <v>75</v>
      </c>
      <c r="B78" s="2" t="s">
        <v>607</v>
      </c>
      <c r="C78" s="6">
        <v>0.66</v>
      </c>
      <c r="D78" s="6">
        <v>0.02</v>
      </c>
      <c r="E78" s="12" t="s">
        <v>145</v>
      </c>
      <c r="F78" s="3" t="s">
        <v>75</v>
      </c>
      <c r="G78" s="13" t="s">
        <v>141</v>
      </c>
      <c r="H78" s="1" t="s">
        <v>142</v>
      </c>
      <c r="I78" s="3" t="s">
        <v>133</v>
      </c>
      <c r="J78" s="3" t="s">
        <v>665</v>
      </c>
      <c r="K78" s="3" t="s">
        <v>143</v>
      </c>
      <c r="L78" s="23">
        <v>16</v>
      </c>
      <c r="M78" s="1" t="s">
        <v>138</v>
      </c>
      <c r="N78" s="1">
        <v>1998</v>
      </c>
      <c r="O78" s="13" t="s">
        <v>137</v>
      </c>
    </row>
    <row r="79" spans="1:15" x14ac:dyDescent="0.15">
      <c r="A79" s="24">
        <v>76</v>
      </c>
      <c r="B79" s="2" t="s">
        <v>611</v>
      </c>
      <c r="C79" s="8">
        <f>0.03/0.001</f>
        <v>30</v>
      </c>
      <c r="D79" s="8">
        <f>20/300*C79</f>
        <v>2</v>
      </c>
      <c r="E79" s="12">
        <v>7.1</v>
      </c>
      <c r="F79" s="3">
        <v>21</v>
      </c>
      <c r="G79" s="13" t="s">
        <v>666</v>
      </c>
      <c r="H79" s="1" t="s">
        <v>142</v>
      </c>
      <c r="I79" s="3" t="s">
        <v>133</v>
      </c>
      <c r="J79" s="3" t="s">
        <v>165</v>
      </c>
      <c r="K79" s="3">
        <v>1E-3</v>
      </c>
      <c r="L79" s="23">
        <v>17</v>
      </c>
      <c r="M79" s="1" t="s">
        <v>138</v>
      </c>
      <c r="N79" s="1">
        <v>1999</v>
      </c>
      <c r="O79" s="13" t="s">
        <v>144</v>
      </c>
    </row>
    <row r="80" spans="1:15" x14ac:dyDescent="0.15">
      <c r="A80" s="24">
        <v>77</v>
      </c>
      <c r="B80" s="2" t="s">
        <v>609</v>
      </c>
      <c r="C80" s="6">
        <f>0.00092/0.001</f>
        <v>0.92</v>
      </c>
      <c r="D80" s="6">
        <f>0.5/9.2*C80</f>
        <v>5.000000000000001E-2</v>
      </c>
      <c r="E80" s="12">
        <v>7.1</v>
      </c>
      <c r="F80" s="3">
        <v>21</v>
      </c>
      <c r="G80" s="13" t="s">
        <v>666</v>
      </c>
      <c r="H80" s="1" t="s">
        <v>142</v>
      </c>
      <c r="I80" s="3" t="s">
        <v>133</v>
      </c>
      <c r="J80" s="3" t="s">
        <v>165</v>
      </c>
      <c r="K80" s="3">
        <v>1E-3</v>
      </c>
      <c r="L80" s="23">
        <v>17</v>
      </c>
      <c r="M80" s="1" t="s">
        <v>138</v>
      </c>
      <c r="N80" s="1">
        <v>1999</v>
      </c>
      <c r="O80" s="13" t="s">
        <v>144</v>
      </c>
    </row>
    <row r="81" spans="1:15" x14ac:dyDescent="0.15">
      <c r="A81" s="24">
        <v>78</v>
      </c>
      <c r="B81" s="2" t="s">
        <v>607</v>
      </c>
      <c r="C81" s="6">
        <v>0.67</v>
      </c>
      <c r="D81" s="6">
        <v>0.03</v>
      </c>
      <c r="E81" s="39" t="s">
        <v>145</v>
      </c>
      <c r="F81" s="3">
        <v>21</v>
      </c>
      <c r="G81" s="13" t="s">
        <v>666</v>
      </c>
      <c r="H81" s="1" t="s">
        <v>142</v>
      </c>
      <c r="I81" s="3" t="s">
        <v>133</v>
      </c>
      <c r="J81" s="3" t="s">
        <v>55</v>
      </c>
      <c r="K81" s="3" t="s">
        <v>143</v>
      </c>
      <c r="L81" s="23">
        <v>17</v>
      </c>
      <c r="M81" s="1" t="s">
        <v>138</v>
      </c>
      <c r="N81" s="1">
        <v>1999</v>
      </c>
      <c r="O81" s="13" t="s">
        <v>144</v>
      </c>
    </row>
    <row r="82" spans="1:15" x14ac:dyDescent="0.15">
      <c r="A82" s="24">
        <v>79</v>
      </c>
      <c r="B82" s="2" t="s">
        <v>608</v>
      </c>
      <c r="C82" s="7">
        <f>0.000045/0.001</f>
        <v>4.5000000000000005E-2</v>
      </c>
      <c r="D82" s="7">
        <f>0.03/0.45*C82</f>
        <v>3.0000000000000005E-3</v>
      </c>
      <c r="E82" s="12">
        <v>7.1</v>
      </c>
      <c r="F82" s="3">
        <v>21</v>
      </c>
      <c r="G82" s="13" t="s">
        <v>666</v>
      </c>
      <c r="H82" s="1" t="s">
        <v>142</v>
      </c>
      <c r="I82" s="3" t="s">
        <v>133</v>
      </c>
      <c r="J82" s="3" t="s">
        <v>165</v>
      </c>
      <c r="K82" s="3">
        <v>1E-3</v>
      </c>
      <c r="L82" s="23">
        <v>17</v>
      </c>
      <c r="M82" s="1" t="s">
        <v>138</v>
      </c>
      <c r="N82" s="1">
        <v>1999</v>
      </c>
      <c r="O82" s="13" t="s">
        <v>144</v>
      </c>
    </row>
    <row r="83" spans="1:15" x14ac:dyDescent="0.15">
      <c r="A83" s="24">
        <v>80</v>
      </c>
      <c r="B83" s="2" t="s">
        <v>610</v>
      </c>
      <c r="C83" s="6">
        <f>0.00238/0.001</f>
        <v>2.3800000000000003</v>
      </c>
      <c r="D83" s="6">
        <f>1.3/23.8*C83</f>
        <v>0.13000000000000003</v>
      </c>
      <c r="E83" s="12">
        <v>7.1</v>
      </c>
      <c r="F83" s="3">
        <v>21</v>
      </c>
      <c r="G83" s="13" t="s">
        <v>666</v>
      </c>
      <c r="H83" s="1" t="s">
        <v>142</v>
      </c>
      <c r="I83" s="3" t="s">
        <v>133</v>
      </c>
      <c r="J83" s="3" t="s">
        <v>165</v>
      </c>
      <c r="K83" s="3">
        <v>1E-3</v>
      </c>
      <c r="L83" s="23">
        <v>17</v>
      </c>
      <c r="M83" s="1" t="s">
        <v>138</v>
      </c>
      <c r="N83" s="1">
        <v>1999</v>
      </c>
      <c r="O83" s="13" t="s">
        <v>144</v>
      </c>
    </row>
    <row r="84" spans="1:15" x14ac:dyDescent="0.15">
      <c r="A84" s="24">
        <v>81</v>
      </c>
      <c r="B84" s="2" t="s">
        <v>608</v>
      </c>
      <c r="C84" s="7">
        <f>2.45/60</f>
        <v>4.083333333333334E-2</v>
      </c>
      <c r="D84" s="7">
        <f>0.65/2.45*C84</f>
        <v>1.0833333333333335E-2</v>
      </c>
      <c r="E84" s="12">
        <v>5.6</v>
      </c>
      <c r="F84" s="3">
        <v>21</v>
      </c>
      <c r="G84" s="13" t="s">
        <v>148</v>
      </c>
      <c r="H84" s="1" t="s">
        <v>667</v>
      </c>
      <c r="I84" s="3" t="s">
        <v>133</v>
      </c>
      <c r="J84" s="3" t="s">
        <v>150</v>
      </c>
      <c r="K84" s="3" t="s">
        <v>149</v>
      </c>
      <c r="L84" s="23">
        <v>18</v>
      </c>
      <c r="M84" s="1" t="s">
        <v>147</v>
      </c>
      <c r="N84" s="1">
        <v>2000</v>
      </c>
      <c r="O84" s="13" t="s">
        <v>146</v>
      </c>
    </row>
    <row r="85" spans="1:15" x14ac:dyDescent="0.15">
      <c r="A85" s="24">
        <v>82</v>
      </c>
      <c r="B85" s="2" t="s">
        <v>21</v>
      </c>
      <c r="C85" s="4">
        <v>1.2999999999999999E-3</v>
      </c>
      <c r="D85" s="4"/>
      <c r="E85" s="12">
        <v>4.8</v>
      </c>
      <c r="F85" s="3">
        <v>25</v>
      </c>
      <c r="G85" s="13" t="s">
        <v>668</v>
      </c>
      <c r="H85" s="1" t="s">
        <v>23</v>
      </c>
      <c r="I85" s="3" t="s">
        <v>24</v>
      </c>
      <c r="J85" s="3">
        <v>10</v>
      </c>
      <c r="K85" s="3">
        <v>0.01</v>
      </c>
      <c r="L85" s="23">
        <v>19</v>
      </c>
      <c r="M85" s="1" t="s">
        <v>152</v>
      </c>
      <c r="N85" s="1">
        <v>2000</v>
      </c>
      <c r="O85" s="13" t="s">
        <v>151</v>
      </c>
    </row>
    <row r="86" spans="1:15" x14ac:dyDescent="0.15">
      <c r="A86" s="24">
        <v>83</v>
      </c>
      <c r="B86" s="2" t="s">
        <v>153</v>
      </c>
      <c r="C86" s="7">
        <v>3.1E-2</v>
      </c>
      <c r="D86" s="7"/>
      <c r="E86" s="12">
        <v>4.8</v>
      </c>
      <c r="F86" s="3">
        <v>25</v>
      </c>
      <c r="G86" s="13" t="s">
        <v>668</v>
      </c>
      <c r="H86" s="1" t="s">
        <v>23</v>
      </c>
      <c r="I86" s="3" t="s">
        <v>24</v>
      </c>
      <c r="J86" s="5">
        <v>10</v>
      </c>
      <c r="K86" s="3">
        <v>0.01</v>
      </c>
      <c r="L86" s="23">
        <v>19</v>
      </c>
      <c r="M86" s="1" t="s">
        <v>152</v>
      </c>
      <c r="N86" s="1">
        <v>2000</v>
      </c>
      <c r="O86" s="13" t="s">
        <v>151</v>
      </c>
    </row>
    <row r="87" spans="1:15" x14ac:dyDescent="0.15">
      <c r="A87" s="24">
        <v>84</v>
      </c>
      <c r="B87" s="2" t="s">
        <v>233</v>
      </c>
      <c r="C87" s="4">
        <v>2.5999999999999999E-3</v>
      </c>
      <c r="D87" s="4"/>
      <c r="E87" s="12">
        <v>4.8</v>
      </c>
      <c r="F87" s="3">
        <v>25</v>
      </c>
      <c r="G87" s="13" t="s">
        <v>668</v>
      </c>
      <c r="H87" s="1" t="s">
        <v>23</v>
      </c>
      <c r="I87" s="3" t="s">
        <v>24</v>
      </c>
      <c r="J87" s="5">
        <v>10</v>
      </c>
      <c r="K87" s="3">
        <v>0.01</v>
      </c>
      <c r="L87" s="23">
        <v>19</v>
      </c>
      <c r="M87" s="1" t="s">
        <v>152</v>
      </c>
      <c r="N87" s="1">
        <v>2000</v>
      </c>
      <c r="O87" s="13" t="s">
        <v>151</v>
      </c>
    </row>
    <row r="88" spans="1:15" x14ac:dyDescent="0.15">
      <c r="A88" s="24">
        <v>85</v>
      </c>
      <c r="B88" s="2" t="s">
        <v>154</v>
      </c>
      <c r="C88" s="4">
        <v>2.7000000000000001E-3</v>
      </c>
      <c r="D88" s="4"/>
      <c r="E88" s="12">
        <v>4.8</v>
      </c>
      <c r="F88" s="3">
        <v>25</v>
      </c>
      <c r="G88" s="13" t="s">
        <v>668</v>
      </c>
      <c r="H88" s="1" t="s">
        <v>23</v>
      </c>
      <c r="I88" s="3" t="s">
        <v>24</v>
      </c>
      <c r="J88" s="3">
        <v>10</v>
      </c>
      <c r="K88" s="3">
        <v>0.01</v>
      </c>
      <c r="L88" s="23">
        <v>19</v>
      </c>
      <c r="M88" s="1" t="s">
        <v>152</v>
      </c>
      <c r="N88" s="1">
        <v>2000</v>
      </c>
      <c r="O88" s="13" t="s">
        <v>151</v>
      </c>
    </row>
    <row r="89" spans="1:15" x14ac:dyDescent="0.15">
      <c r="A89" s="24">
        <v>86</v>
      </c>
      <c r="B89" s="2" t="s">
        <v>157</v>
      </c>
      <c r="C89" s="4">
        <v>6.9999999999999999E-6</v>
      </c>
      <c r="D89" s="4">
        <f>0.06*C89</f>
        <v>4.2E-7</v>
      </c>
      <c r="E89" s="12" t="s">
        <v>664</v>
      </c>
      <c r="F89" s="3">
        <v>70</v>
      </c>
      <c r="G89" s="13" t="s">
        <v>160</v>
      </c>
      <c r="H89" s="1" t="s">
        <v>75</v>
      </c>
      <c r="I89" s="3" t="s">
        <v>75</v>
      </c>
      <c r="J89" s="3" t="s">
        <v>75</v>
      </c>
      <c r="K89" s="3" t="s">
        <v>75</v>
      </c>
      <c r="L89" s="23">
        <v>20</v>
      </c>
      <c r="M89" s="1" t="s">
        <v>156</v>
      </c>
      <c r="N89" s="1">
        <v>2000</v>
      </c>
      <c r="O89" s="13" t="s">
        <v>155</v>
      </c>
    </row>
    <row r="90" spans="1:15" x14ac:dyDescent="0.15">
      <c r="A90" s="24">
        <v>87</v>
      </c>
      <c r="B90" s="2" t="s">
        <v>122</v>
      </c>
      <c r="C90" s="4">
        <f>0.00023</f>
        <v>2.3000000000000001E-4</v>
      </c>
      <c r="D90" s="4">
        <v>1.0000000000000001E-5</v>
      </c>
      <c r="E90" s="12" t="s">
        <v>664</v>
      </c>
      <c r="F90" s="3">
        <v>20</v>
      </c>
      <c r="G90" s="13" t="s">
        <v>160</v>
      </c>
      <c r="H90" s="1" t="s">
        <v>661</v>
      </c>
      <c r="I90" s="3" t="s">
        <v>133</v>
      </c>
      <c r="J90" s="3" t="s">
        <v>75</v>
      </c>
      <c r="K90" s="3" t="s">
        <v>75</v>
      </c>
      <c r="L90" s="23">
        <v>90</v>
      </c>
      <c r="M90" s="1" t="s">
        <v>663</v>
      </c>
      <c r="N90" s="1">
        <v>1996</v>
      </c>
      <c r="O90" s="13" t="s">
        <v>662</v>
      </c>
    </row>
    <row r="91" spans="1:15" x14ac:dyDescent="0.15">
      <c r="A91" s="24">
        <v>88</v>
      </c>
      <c r="B91" s="2" t="s">
        <v>516</v>
      </c>
      <c r="C91" s="4">
        <v>8.8999999999999995E-4</v>
      </c>
      <c r="D91" s="4">
        <v>3.0000000000000001E-5</v>
      </c>
      <c r="E91" s="12" t="s">
        <v>664</v>
      </c>
      <c r="F91" s="3">
        <v>20</v>
      </c>
      <c r="G91" s="13" t="s">
        <v>160</v>
      </c>
      <c r="H91" s="1" t="s">
        <v>661</v>
      </c>
      <c r="I91" s="3" t="s">
        <v>133</v>
      </c>
      <c r="J91" s="3" t="s">
        <v>75</v>
      </c>
      <c r="K91" s="3" t="s">
        <v>75</v>
      </c>
      <c r="L91" s="23">
        <v>90</v>
      </c>
      <c r="M91" s="1" t="s">
        <v>663</v>
      </c>
      <c r="N91" s="1">
        <v>1996</v>
      </c>
      <c r="O91" s="13" t="s">
        <v>662</v>
      </c>
    </row>
    <row r="92" spans="1:15" x14ac:dyDescent="0.15">
      <c r="A92" s="24">
        <v>89</v>
      </c>
      <c r="B92" s="2" t="s">
        <v>517</v>
      </c>
      <c r="C92" s="4">
        <v>5.9999999999999995E-4</v>
      </c>
      <c r="D92" s="4">
        <v>3.0000000000000001E-5</v>
      </c>
      <c r="E92" s="12" t="s">
        <v>664</v>
      </c>
      <c r="F92" s="3">
        <v>20</v>
      </c>
      <c r="G92" s="13" t="s">
        <v>160</v>
      </c>
      <c r="H92" s="1" t="s">
        <v>661</v>
      </c>
      <c r="I92" s="3" t="s">
        <v>133</v>
      </c>
      <c r="J92" s="3" t="s">
        <v>75</v>
      </c>
      <c r="K92" s="3" t="s">
        <v>75</v>
      </c>
      <c r="L92" s="23">
        <v>90</v>
      </c>
      <c r="M92" s="1" t="s">
        <v>663</v>
      </c>
      <c r="N92" s="1">
        <v>1996</v>
      </c>
      <c r="O92" s="13" t="s">
        <v>662</v>
      </c>
    </row>
    <row r="93" spans="1:15" x14ac:dyDescent="0.15">
      <c r="A93" s="24">
        <v>90</v>
      </c>
      <c r="B93" s="2" t="s">
        <v>518</v>
      </c>
      <c r="C93" s="4">
        <v>1.15E-3</v>
      </c>
      <c r="D93" s="4">
        <v>5.0000000000000002E-5</v>
      </c>
      <c r="E93" s="12" t="s">
        <v>664</v>
      </c>
      <c r="F93" s="3">
        <v>20</v>
      </c>
      <c r="G93" s="13" t="s">
        <v>160</v>
      </c>
      <c r="H93" s="1" t="s">
        <v>661</v>
      </c>
      <c r="I93" s="3" t="s">
        <v>133</v>
      </c>
      <c r="J93" s="3" t="s">
        <v>75</v>
      </c>
      <c r="K93" s="3" t="s">
        <v>75</v>
      </c>
      <c r="L93" s="23">
        <v>90</v>
      </c>
      <c r="M93" s="1" t="s">
        <v>663</v>
      </c>
      <c r="N93" s="1">
        <v>1996</v>
      </c>
      <c r="O93" s="13" t="s">
        <v>662</v>
      </c>
    </row>
    <row r="94" spans="1:15" x14ac:dyDescent="0.15">
      <c r="A94" s="24">
        <v>91</v>
      </c>
      <c r="B94" s="2" t="s">
        <v>159</v>
      </c>
      <c r="C94" s="4">
        <v>1.01E-3</v>
      </c>
      <c r="D94" s="4">
        <v>4.0000000000000003E-5</v>
      </c>
      <c r="E94" s="12" t="s">
        <v>664</v>
      </c>
      <c r="F94" s="3">
        <v>20</v>
      </c>
      <c r="G94" s="13" t="s">
        <v>160</v>
      </c>
      <c r="H94" s="1" t="s">
        <v>661</v>
      </c>
      <c r="I94" s="3" t="s">
        <v>133</v>
      </c>
      <c r="J94" s="3" t="s">
        <v>75</v>
      </c>
      <c r="K94" s="3" t="s">
        <v>75</v>
      </c>
      <c r="L94" s="23">
        <v>90</v>
      </c>
      <c r="M94" s="1" t="s">
        <v>663</v>
      </c>
      <c r="N94" s="1">
        <v>1996</v>
      </c>
      <c r="O94" s="13" t="s">
        <v>662</v>
      </c>
    </row>
    <row r="95" spans="1:15" x14ac:dyDescent="0.15">
      <c r="A95" s="24">
        <v>92</v>
      </c>
      <c r="B95" s="2" t="s">
        <v>158</v>
      </c>
      <c r="C95" s="4">
        <v>2.2799999999999999E-3</v>
      </c>
      <c r="D95" s="4">
        <v>9.0000000000000006E-5</v>
      </c>
      <c r="E95" s="12" t="s">
        <v>664</v>
      </c>
      <c r="F95" s="3">
        <v>20</v>
      </c>
      <c r="G95" s="13" t="s">
        <v>160</v>
      </c>
      <c r="H95" s="1" t="s">
        <v>661</v>
      </c>
      <c r="I95" s="3" t="s">
        <v>133</v>
      </c>
      <c r="J95" s="3" t="s">
        <v>75</v>
      </c>
      <c r="K95" s="3" t="s">
        <v>75</v>
      </c>
      <c r="L95" s="23">
        <v>90</v>
      </c>
      <c r="M95" s="1" t="s">
        <v>663</v>
      </c>
      <c r="N95" s="1">
        <v>1996</v>
      </c>
      <c r="O95" s="13" t="s">
        <v>662</v>
      </c>
    </row>
    <row r="96" spans="1:15" x14ac:dyDescent="0.15">
      <c r="A96" s="24">
        <v>93</v>
      </c>
      <c r="B96" s="2" t="s">
        <v>126</v>
      </c>
      <c r="C96" s="7">
        <v>1.1299999999999999E-2</v>
      </c>
      <c r="D96" s="4">
        <f>0.0006</f>
        <v>5.9999999999999995E-4</v>
      </c>
      <c r="E96" s="12" t="s">
        <v>664</v>
      </c>
      <c r="F96" s="3">
        <v>30</v>
      </c>
      <c r="G96" s="13" t="s">
        <v>160</v>
      </c>
      <c r="H96" s="1" t="s">
        <v>661</v>
      </c>
      <c r="I96" s="3" t="s">
        <v>133</v>
      </c>
      <c r="J96" s="3" t="s">
        <v>75</v>
      </c>
      <c r="K96" s="3" t="s">
        <v>75</v>
      </c>
      <c r="L96" s="23">
        <v>90</v>
      </c>
      <c r="M96" s="1" t="s">
        <v>663</v>
      </c>
      <c r="N96" s="1">
        <v>1996</v>
      </c>
      <c r="O96" s="13" t="s">
        <v>662</v>
      </c>
    </row>
    <row r="97" spans="1:15" x14ac:dyDescent="0.15">
      <c r="A97" s="24">
        <v>94</v>
      </c>
      <c r="B97" s="2" t="s">
        <v>569</v>
      </c>
      <c r="C97" s="7">
        <v>1.23E-2</v>
      </c>
      <c r="D97" s="4">
        <f>0.0005</f>
        <v>5.0000000000000001E-4</v>
      </c>
      <c r="E97" s="12" t="s">
        <v>664</v>
      </c>
      <c r="F97" s="3">
        <v>30</v>
      </c>
      <c r="G97" s="13" t="s">
        <v>160</v>
      </c>
      <c r="H97" s="1" t="s">
        <v>661</v>
      </c>
      <c r="I97" s="3" t="s">
        <v>133</v>
      </c>
      <c r="J97" s="3" t="s">
        <v>75</v>
      </c>
      <c r="K97" s="3" t="s">
        <v>75</v>
      </c>
      <c r="L97" s="23">
        <v>90</v>
      </c>
      <c r="M97" s="1" t="s">
        <v>663</v>
      </c>
      <c r="N97" s="1">
        <v>1996</v>
      </c>
      <c r="O97" s="13" t="s">
        <v>662</v>
      </c>
    </row>
    <row r="98" spans="1:15" x14ac:dyDescent="0.15">
      <c r="A98" s="24">
        <v>95</v>
      </c>
      <c r="B98" s="2" t="s">
        <v>607</v>
      </c>
      <c r="C98" s="6">
        <v>0.67</v>
      </c>
      <c r="D98" s="6">
        <v>0.03</v>
      </c>
      <c r="E98" s="12" t="s">
        <v>145</v>
      </c>
      <c r="F98" s="3">
        <v>21</v>
      </c>
      <c r="G98" s="13" t="s">
        <v>112</v>
      </c>
      <c r="H98" s="1" t="s">
        <v>75</v>
      </c>
      <c r="I98" s="3" t="s">
        <v>133</v>
      </c>
      <c r="J98" s="3">
        <f>0.63/0.09</f>
        <v>7</v>
      </c>
      <c r="K98" s="3">
        <v>6.3000000000000003E-4</v>
      </c>
      <c r="L98" s="23">
        <v>21</v>
      </c>
      <c r="M98" s="1" t="s">
        <v>138</v>
      </c>
      <c r="N98" s="1">
        <v>2000</v>
      </c>
      <c r="O98" s="13" t="s">
        <v>161</v>
      </c>
    </row>
    <row r="99" spans="1:15" x14ac:dyDescent="0.15">
      <c r="A99" s="24">
        <v>96</v>
      </c>
      <c r="B99" s="2" t="s">
        <v>608</v>
      </c>
      <c r="C99" s="7">
        <v>3.5000000000000003E-2</v>
      </c>
      <c r="D99" s="7">
        <v>4.0000000000000001E-3</v>
      </c>
      <c r="E99" s="12">
        <v>7</v>
      </c>
      <c r="F99" s="3">
        <v>20</v>
      </c>
      <c r="G99" s="13" t="s">
        <v>112</v>
      </c>
      <c r="H99" s="1" t="s">
        <v>164</v>
      </c>
      <c r="I99" s="3" t="s">
        <v>133</v>
      </c>
      <c r="J99" s="3" t="s">
        <v>669</v>
      </c>
      <c r="K99" s="3" t="s">
        <v>601</v>
      </c>
      <c r="L99" s="23">
        <v>22</v>
      </c>
      <c r="M99" s="1" t="s">
        <v>163</v>
      </c>
      <c r="N99" s="1">
        <v>2001</v>
      </c>
      <c r="O99" s="13" t="s">
        <v>162</v>
      </c>
    </row>
    <row r="100" spans="1:15" x14ac:dyDescent="0.15">
      <c r="A100" s="24">
        <v>97</v>
      </c>
      <c r="B100" s="2" t="s">
        <v>607</v>
      </c>
      <c r="C100" s="6">
        <v>0.8</v>
      </c>
      <c r="D100" s="6">
        <v>0.12</v>
      </c>
      <c r="E100" s="12">
        <v>7</v>
      </c>
      <c r="F100" s="3">
        <v>20</v>
      </c>
      <c r="G100" s="13" t="s">
        <v>112</v>
      </c>
      <c r="H100" s="1" t="s">
        <v>164</v>
      </c>
      <c r="I100" s="3" t="s">
        <v>133</v>
      </c>
      <c r="J100" s="3" t="s">
        <v>670</v>
      </c>
      <c r="K100" s="3" t="s">
        <v>601</v>
      </c>
      <c r="L100" s="23">
        <v>22</v>
      </c>
      <c r="M100" s="1" t="s">
        <v>163</v>
      </c>
      <c r="N100" s="1">
        <v>2001</v>
      </c>
      <c r="O100" s="13" t="s">
        <v>162</v>
      </c>
    </row>
    <row r="101" spans="1:15" x14ac:dyDescent="0.15">
      <c r="A101" s="24">
        <v>98</v>
      </c>
      <c r="B101" s="2" t="s">
        <v>609</v>
      </c>
      <c r="C101" s="6">
        <v>1.52</v>
      </c>
      <c r="D101" s="6">
        <v>0.05</v>
      </c>
      <c r="E101" s="12">
        <v>7</v>
      </c>
      <c r="F101" s="3">
        <v>20</v>
      </c>
      <c r="G101" s="13" t="s">
        <v>112</v>
      </c>
      <c r="H101" s="1" t="s">
        <v>164</v>
      </c>
      <c r="I101" s="3" t="s">
        <v>133</v>
      </c>
      <c r="J101" s="3" t="s">
        <v>672</v>
      </c>
      <c r="K101" s="3" t="s">
        <v>671</v>
      </c>
      <c r="L101" s="23">
        <v>22</v>
      </c>
      <c r="M101" s="1" t="s">
        <v>163</v>
      </c>
      <c r="N101" s="1">
        <v>2001</v>
      </c>
      <c r="O101" s="13" t="s">
        <v>162</v>
      </c>
    </row>
    <row r="102" spans="1:15" x14ac:dyDescent="0.15">
      <c r="A102" s="24">
        <v>99</v>
      </c>
      <c r="B102" s="2" t="s">
        <v>610</v>
      </c>
      <c r="C102" s="6">
        <v>2.1</v>
      </c>
      <c r="D102" s="6">
        <v>0.2</v>
      </c>
      <c r="E102" s="12">
        <v>7</v>
      </c>
      <c r="F102" s="3">
        <v>20</v>
      </c>
      <c r="G102" s="13" t="s">
        <v>112</v>
      </c>
      <c r="H102" s="1" t="s">
        <v>164</v>
      </c>
      <c r="I102" s="3" t="s">
        <v>133</v>
      </c>
      <c r="J102" s="3" t="s">
        <v>673</v>
      </c>
      <c r="K102" s="3" t="s">
        <v>671</v>
      </c>
      <c r="L102" s="23">
        <v>22</v>
      </c>
      <c r="M102" s="1" t="s">
        <v>163</v>
      </c>
      <c r="N102" s="1">
        <v>2001</v>
      </c>
      <c r="O102" s="13" t="s">
        <v>162</v>
      </c>
    </row>
    <row r="103" spans="1:15" x14ac:dyDescent="0.15">
      <c r="A103" s="24">
        <v>100</v>
      </c>
      <c r="B103" s="2" t="s">
        <v>611</v>
      </c>
      <c r="C103" s="8">
        <v>48.6</v>
      </c>
      <c r="D103" s="8">
        <v>0.9</v>
      </c>
      <c r="E103" s="12">
        <v>7</v>
      </c>
      <c r="F103" s="3">
        <v>20</v>
      </c>
      <c r="G103" s="13" t="s">
        <v>112</v>
      </c>
      <c r="H103" s="1" t="s">
        <v>164</v>
      </c>
      <c r="I103" s="3" t="s">
        <v>133</v>
      </c>
      <c r="J103" s="3" t="s">
        <v>674</v>
      </c>
      <c r="K103" s="3" t="s">
        <v>671</v>
      </c>
      <c r="L103" s="23">
        <v>22</v>
      </c>
      <c r="M103" s="1" t="s">
        <v>163</v>
      </c>
      <c r="N103" s="1">
        <v>2001</v>
      </c>
      <c r="O103" s="13" t="s">
        <v>162</v>
      </c>
    </row>
    <row r="104" spans="1:15" x14ac:dyDescent="0.15">
      <c r="A104" s="24">
        <v>101</v>
      </c>
      <c r="B104" s="2" t="s">
        <v>168</v>
      </c>
      <c r="C104" s="4">
        <f>0.000001426*1000/60/60*88</f>
        <v>3.4857777777777779E-5</v>
      </c>
      <c r="D104" s="4">
        <f>0.05*C104</f>
        <v>1.7428888888888891E-6</v>
      </c>
      <c r="E104" s="12">
        <v>7.6</v>
      </c>
      <c r="F104" s="3">
        <v>23</v>
      </c>
      <c r="G104" s="13" t="s">
        <v>169</v>
      </c>
      <c r="H104" s="1" t="s">
        <v>164</v>
      </c>
      <c r="I104" s="3" t="s">
        <v>133</v>
      </c>
      <c r="J104" s="3" t="s">
        <v>675</v>
      </c>
      <c r="K104" s="3" t="s">
        <v>170</v>
      </c>
      <c r="L104" s="23">
        <v>23</v>
      </c>
      <c r="M104" s="1" t="s">
        <v>167</v>
      </c>
      <c r="N104" s="1">
        <v>2002</v>
      </c>
      <c r="O104" s="13" t="s">
        <v>166</v>
      </c>
    </row>
    <row r="105" spans="1:15" x14ac:dyDescent="0.15">
      <c r="A105" s="24">
        <v>102</v>
      </c>
      <c r="B105" s="2" t="s">
        <v>608</v>
      </c>
      <c r="C105" s="7">
        <f>AVERAGE(0.00028/(1.46/158),0.00013/(0.45/158))</f>
        <v>3.7972907153729064E-2</v>
      </c>
      <c r="D105" s="7">
        <f>STDEV(0.00028/(1.46/158),0.00013/(0.45/158))</f>
        <v>1.0849192080780643E-2</v>
      </c>
      <c r="E105" s="12">
        <v>5.6</v>
      </c>
      <c r="F105" s="3">
        <v>23</v>
      </c>
      <c r="G105" s="13" t="s">
        <v>148</v>
      </c>
      <c r="H105" s="1" t="s">
        <v>173</v>
      </c>
      <c r="I105" s="3" t="s">
        <v>133</v>
      </c>
      <c r="J105" s="3" t="s">
        <v>676</v>
      </c>
      <c r="K105" s="3" t="s">
        <v>175</v>
      </c>
      <c r="L105" s="23">
        <v>24</v>
      </c>
      <c r="M105" s="1" t="s">
        <v>172</v>
      </c>
      <c r="N105" s="1">
        <v>2002</v>
      </c>
      <c r="O105" s="13" t="s">
        <v>171</v>
      </c>
    </row>
    <row r="106" spans="1:15" x14ac:dyDescent="0.15">
      <c r="A106" s="24">
        <v>103</v>
      </c>
      <c r="B106" s="2" t="s">
        <v>607</v>
      </c>
      <c r="C106" s="6">
        <f>AVERAGE(0.00102/(0.25/158),0.00065/(0.155/158))</f>
        <v>0.65361032258064511</v>
      </c>
      <c r="D106" s="6">
        <f>STDEV(0.00102/(0.25/158),0.00065/(0.155/158))</f>
        <v>1.2685951852409869E-2</v>
      </c>
      <c r="E106" s="12">
        <v>5.6</v>
      </c>
      <c r="F106" s="3">
        <v>23</v>
      </c>
      <c r="G106" s="13" t="s">
        <v>148</v>
      </c>
      <c r="H106" s="1" t="s">
        <v>173</v>
      </c>
      <c r="I106" s="3" t="s">
        <v>133</v>
      </c>
      <c r="J106" s="3" t="s">
        <v>677</v>
      </c>
      <c r="K106" s="3" t="s">
        <v>174</v>
      </c>
      <c r="L106" s="23">
        <v>24</v>
      </c>
      <c r="M106" s="1" t="s">
        <v>172</v>
      </c>
      <c r="N106" s="1">
        <v>2002</v>
      </c>
      <c r="O106" s="13" t="s">
        <v>171</v>
      </c>
    </row>
    <row r="107" spans="1:15" x14ac:dyDescent="0.15">
      <c r="A107" s="24">
        <v>104</v>
      </c>
      <c r="B107" s="2" t="s">
        <v>609</v>
      </c>
      <c r="C107" s="6">
        <f>0.00266/(0.37/158)</f>
        <v>1.1358918918918919</v>
      </c>
      <c r="D107" s="6"/>
      <c r="E107" s="12">
        <v>5.6</v>
      </c>
      <c r="F107" s="3">
        <v>23</v>
      </c>
      <c r="G107" s="13" t="s">
        <v>148</v>
      </c>
      <c r="H107" s="1" t="s">
        <v>173</v>
      </c>
      <c r="I107" s="3" t="s">
        <v>133</v>
      </c>
      <c r="J107" s="3">
        <v>4.7</v>
      </c>
      <c r="K107" s="3">
        <v>2.3E-3</v>
      </c>
      <c r="L107" s="23">
        <v>24</v>
      </c>
      <c r="M107" s="1" t="s">
        <v>172</v>
      </c>
      <c r="N107" s="1">
        <v>2002</v>
      </c>
      <c r="O107" s="13" t="s">
        <v>171</v>
      </c>
    </row>
    <row r="108" spans="1:15" x14ac:dyDescent="0.15">
      <c r="A108" s="24">
        <v>105</v>
      </c>
      <c r="B108" s="2" t="s">
        <v>15</v>
      </c>
      <c r="C108" s="8">
        <f>0.027/60/(0.002/158)</f>
        <v>35.549999999999997</v>
      </c>
      <c r="D108" s="8"/>
      <c r="E108" s="12">
        <v>7.2</v>
      </c>
      <c r="F108" s="3">
        <v>16</v>
      </c>
      <c r="G108" s="13" t="s">
        <v>178</v>
      </c>
      <c r="H108" s="1" t="s">
        <v>136</v>
      </c>
      <c r="I108" s="3" t="s">
        <v>133</v>
      </c>
      <c r="J108" s="5">
        <f>13/(100/94)</f>
        <v>12.22</v>
      </c>
      <c r="K108" s="3">
        <v>1.2999999999999999E-5</v>
      </c>
      <c r="L108" s="23">
        <v>25</v>
      </c>
      <c r="M108" s="1" t="s">
        <v>177</v>
      </c>
      <c r="N108" s="1">
        <v>2003</v>
      </c>
      <c r="O108" s="13" t="s">
        <v>176</v>
      </c>
    </row>
    <row r="109" spans="1:15" x14ac:dyDescent="0.15">
      <c r="A109" s="24">
        <v>106</v>
      </c>
      <c r="B109" s="2" t="s">
        <v>179</v>
      </c>
      <c r="C109" s="8">
        <f>0.0451/60/(0.002/158)</f>
        <v>59.381666666666661</v>
      </c>
      <c r="D109" s="8"/>
      <c r="E109" s="12">
        <v>7.2</v>
      </c>
      <c r="F109" s="3">
        <v>16</v>
      </c>
      <c r="G109" s="13" t="s">
        <v>178</v>
      </c>
      <c r="H109" s="1" t="s">
        <v>136</v>
      </c>
      <c r="I109" s="3" t="s">
        <v>133</v>
      </c>
      <c r="J109" s="5">
        <f>13/(100/128.5)</f>
        <v>16.704999999999998</v>
      </c>
      <c r="K109" s="3">
        <v>1.2999999999999999E-5</v>
      </c>
      <c r="L109" s="23">
        <v>25</v>
      </c>
      <c r="M109" s="1" t="s">
        <v>177</v>
      </c>
      <c r="N109" s="1">
        <v>2003</v>
      </c>
      <c r="O109" s="13" t="s">
        <v>176</v>
      </c>
    </row>
    <row r="110" spans="1:15" x14ac:dyDescent="0.15">
      <c r="A110" s="24">
        <v>107</v>
      </c>
      <c r="B110" s="2" t="s">
        <v>180</v>
      </c>
      <c r="C110" s="8">
        <f>0.0334/60/(0.002/158)</f>
        <v>43.976666666666667</v>
      </c>
      <c r="D110" s="8"/>
      <c r="E110" s="12">
        <v>7.2</v>
      </c>
      <c r="F110" s="3">
        <v>16</v>
      </c>
      <c r="G110" s="13" t="s">
        <v>178</v>
      </c>
      <c r="H110" s="1" t="s">
        <v>136</v>
      </c>
      <c r="I110" s="3" t="s">
        <v>133</v>
      </c>
      <c r="J110" s="5">
        <f>13/(100/163)</f>
        <v>21.19</v>
      </c>
      <c r="K110" s="3">
        <v>1.2999999999999999E-5</v>
      </c>
      <c r="L110" s="23">
        <v>25</v>
      </c>
      <c r="M110" s="1" t="s">
        <v>177</v>
      </c>
      <c r="N110" s="1">
        <v>2003</v>
      </c>
      <c r="O110" s="13" t="s">
        <v>176</v>
      </c>
    </row>
    <row r="111" spans="1:15" x14ac:dyDescent="0.15">
      <c r="A111" s="24">
        <v>108</v>
      </c>
      <c r="B111" s="2" t="s">
        <v>181</v>
      </c>
      <c r="C111" s="8">
        <f>0.0243/60/(0.002/158)</f>
        <v>31.994999999999997</v>
      </c>
      <c r="D111" s="8"/>
      <c r="E111" s="12">
        <v>7.2</v>
      </c>
      <c r="F111" s="3">
        <v>16</v>
      </c>
      <c r="G111" s="13" t="s">
        <v>178</v>
      </c>
      <c r="H111" s="1" t="s">
        <v>136</v>
      </c>
      <c r="I111" s="3" t="s">
        <v>133</v>
      </c>
      <c r="J111" s="5">
        <f>13/(100/163)</f>
        <v>21.19</v>
      </c>
      <c r="K111" s="3">
        <v>1.2999999999999999E-5</v>
      </c>
      <c r="L111" s="23">
        <v>25</v>
      </c>
      <c r="M111" s="1" t="s">
        <v>177</v>
      </c>
      <c r="N111" s="1">
        <v>2003</v>
      </c>
      <c r="O111" s="13" t="s">
        <v>176</v>
      </c>
    </row>
    <row r="112" spans="1:15" x14ac:dyDescent="0.15">
      <c r="A112" s="24">
        <v>109</v>
      </c>
      <c r="B112" s="2" t="s">
        <v>184</v>
      </c>
      <c r="C112" s="4">
        <f>0.433/24/60/60/(20/158)</f>
        <v>3.9591435185185184E-5</v>
      </c>
      <c r="D112" s="4"/>
      <c r="E112" s="12" t="s">
        <v>186</v>
      </c>
      <c r="F112" s="3" t="s">
        <v>75</v>
      </c>
      <c r="G112" s="13" t="s">
        <v>262</v>
      </c>
      <c r="H112" s="1" t="s">
        <v>185</v>
      </c>
      <c r="I112" s="3" t="s">
        <v>133</v>
      </c>
      <c r="J112" s="3">
        <v>11000</v>
      </c>
      <c r="K112" s="3">
        <v>0.127</v>
      </c>
      <c r="L112" s="23">
        <v>26</v>
      </c>
      <c r="M112" s="1" t="s">
        <v>183</v>
      </c>
      <c r="N112" s="1">
        <v>2004</v>
      </c>
      <c r="O112" s="13" t="s">
        <v>182</v>
      </c>
    </row>
    <row r="113" spans="1:30" x14ac:dyDescent="0.15">
      <c r="A113" s="24">
        <v>110</v>
      </c>
      <c r="B113" s="2" t="s">
        <v>189</v>
      </c>
      <c r="C113" s="6">
        <v>1.04</v>
      </c>
      <c r="D113" s="6">
        <v>0.02</v>
      </c>
      <c r="E113" s="12">
        <v>3</v>
      </c>
      <c r="F113" s="3">
        <v>21</v>
      </c>
      <c r="G113" s="13" t="s">
        <v>190</v>
      </c>
      <c r="H113" s="1" t="s">
        <v>23</v>
      </c>
      <c r="I113" s="3" t="s">
        <v>24</v>
      </c>
      <c r="J113" s="3" t="s">
        <v>192</v>
      </c>
      <c r="K113" s="3" t="s">
        <v>191</v>
      </c>
      <c r="L113" s="23">
        <v>27</v>
      </c>
      <c r="M113" s="1" t="s">
        <v>678</v>
      </c>
      <c r="N113" s="1">
        <v>2004</v>
      </c>
      <c r="O113" s="13" t="s">
        <v>187</v>
      </c>
      <c r="P113" s="34"/>
      <c r="AA113" s="3"/>
    </row>
    <row r="114" spans="1:30" x14ac:dyDescent="0.15">
      <c r="A114" s="24">
        <v>111</v>
      </c>
      <c r="B114" s="2" t="s">
        <v>195</v>
      </c>
      <c r="C114" s="7">
        <v>1.2E-2</v>
      </c>
      <c r="D114" s="7">
        <v>0.01</v>
      </c>
      <c r="E114" s="12">
        <v>5.6</v>
      </c>
      <c r="F114" s="3">
        <v>21</v>
      </c>
      <c r="G114" s="13" t="s">
        <v>148</v>
      </c>
      <c r="H114" s="1" t="s">
        <v>164</v>
      </c>
      <c r="I114" s="3" t="s">
        <v>133</v>
      </c>
      <c r="J114" s="3" t="s">
        <v>582</v>
      </c>
      <c r="K114" s="3" t="s">
        <v>205</v>
      </c>
      <c r="L114" s="23">
        <v>28</v>
      </c>
      <c r="M114" s="1" t="s">
        <v>193</v>
      </c>
      <c r="N114" s="1">
        <v>2004</v>
      </c>
      <c r="O114" s="13" t="s">
        <v>194</v>
      </c>
      <c r="P114" s="34"/>
      <c r="Z114" s="3"/>
      <c r="AA114" s="34"/>
      <c r="AB114" s="4"/>
      <c r="AC114" s="31"/>
    </row>
    <row r="115" spans="1:30" x14ac:dyDescent="0.15">
      <c r="A115" s="24">
        <v>112</v>
      </c>
      <c r="B115" s="2" t="s">
        <v>196</v>
      </c>
      <c r="C115" s="7">
        <v>1.0999999999999999E-2</v>
      </c>
      <c r="D115" s="7">
        <v>2E-3</v>
      </c>
      <c r="E115" s="12">
        <v>5.6</v>
      </c>
      <c r="F115" s="3">
        <v>21</v>
      </c>
      <c r="G115" s="13" t="s">
        <v>148</v>
      </c>
      <c r="H115" s="1" t="s">
        <v>164</v>
      </c>
      <c r="I115" s="3" t="s">
        <v>133</v>
      </c>
      <c r="J115" s="3" t="s">
        <v>581</v>
      </c>
      <c r="K115" s="3" t="s">
        <v>206</v>
      </c>
      <c r="L115" s="23">
        <v>28</v>
      </c>
      <c r="M115" s="1" t="s">
        <v>193</v>
      </c>
      <c r="N115" s="1">
        <v>2004</v>
      </c>
      <c r="O115" s="13" t="s">
        <v>194</v>
      </c>
      <c r="P115" s="34"/>
      <c r="Z115" s="3"/>
      <c r="AB115" s="4"/>
      <c r="AC115" s="31"/>
    </row>
    <row r="116" spans="1:30" x14ac:dyDescent="0.15">
      <c r="A116" s="24">
        <v>113</v>
      </c>
      <c r="B116" s="2" t="s">
        <v>197</v>
      </c>
      <c r="C116" s="4">
        <v>4.1999999999999997E-3</v>
      </c>
      <c r="D116" s="4">
        <v>0.03</v>
      </c>
      <c r="E116" s="12">
        <v>5.6</v>
      </c>
      <c r="F116" s="3">
        <v>21</v>
      </c>
      <c r="G116" s="13" t="s">
        <v>148</v>
      </c>
      <c r="H116" s="1" t="s">
        <v>164</v>
      </c>
      <c r="I116" s="3" t="s">
        <v>133</v>
      </c>
      <c r="J116" s="3" t="s">
        <v>583</v>
      </c>
      <c r="K116" s="3" t="s">
        <v>207</v>
      </c>
      <c r="L116" s="23">
        <v>28</v>
      </c>
      <c r="M116" s="1" t="s">
        <v>193</v>
      </c>
      <c r="N116" s="1">
        <v>2004</v>
      </c>
      <c r="O116" s="13" t="s">
        <v>194</v>
      </c>
      <c r="P116" s="34"/>
      <c r="Z116" s="3"/>
      <c r="AB116" s="4"/>
      <c r="AC116" s="31"/>
    </row>
    <row r="117" spans="1:30" x14ac:dyDescent="0.15">
      <c r="A117" s="24">
        <v>114</v>
      </c>
      <c r="B117" s="2" t="s">
        <v>208</v>
      </c>
      <c r="C117" s="6">
        <v>0.9</v>
      </c>
      <c r="D117" s="6">
        <v>0.3</v>
      </c>
      <c r="E117" s="12">
        <v>5.6</v>
      </c>
      <c r="F117" s="3">
        <v>21</v>
      </c>
      <c r="G117" s="13" t="s">
        <v>148</v>
      </c>
      <c r="H117" s="1" t="s">
        <v>164</v>
      </c>
      <c r="I117" s="3" t="s">
        <v>133</v>
      </c>
      <c r="J117" s="3" t="s">
        <v>584</v>
      </c>
      <c r="K117" s="3" t="s">
        <v>209</v>
      </c>
      <c r="L117" s="23">
        <v>28</v>
      </c>
      <c r="M117" s="1" t="s">
        <v>193</v>
      </c>
      <c r="N117" s="1">
        <v>2004</v>
      </c>
      <c r="O117" s="13" t="s">
        <v>194</v>
      </c>
      <c r="P117" s="34"/>
      <c r="Z117" s="3"/>
      <c r="AB117" s="4"/>
      <c r="AC117" s="31"/>
    </row>
    <row r="118" spans="1:30" x14ac:dyDescent="0.15">
      <c r="A118" s="24">
        <v>115</v>
      </c>
      <c r="B118" s="2" t="s">
        <v>198</v>
      </c>
      <c r="C118" s="6">
        <v>1.7</v>
      </c>
      <c r="D118" s="6">
        <v>0.6</v>
      </c>
      <c r="E118" s="12">
        <v>5.6</v>
      </c>
      <c r="F118" s="3">
        <v>21</v>
      </c>
      <c r="G118" s="13" t="s">
        <v>148</v>
      </c>
      <c r="H118" s="1" t="s">
        <v>164</v>
      </c>
      <c r="I118" s="3" t="s">
        <v>133</v>
      </c>
      <c r="J118" s="3" t="s">
        <v>585</v>
      </c>
      <c r="K118" s="3" t="s">
        <v>210</v>
      </c>
      <c r="L118" s="23">
        <v>28</v>
      </c>
      <c r="M118" s="1" t="s">
        <v>193</v>
      </c>
      <c r="N118" s="1">
        <v>2004</v>
      </c>
      <c r="O118" s="13" t="s">
        <v>194</v>
      </c>
      <c r="Z118" s="3"/>
      <c r="AB118" s="4"/>
      <c r="AC118" s="31"/>
    </row>
    <row r="119" spans="1:30" x14ac:dyDescent="0.15">
      <c r="A119" s="24">
        <v>116</v>
      </c>
      <c r="B119" s="2" t="s">
        <v>122</v>
      </c>
      <c r="C119" s="4">
        <v>5.2999999999999998E-4</v>
      </c>
      <c r="D119" s="4">
        <v>5.0000000000000001E-4</v>
      </c>
      <c r="E119" s="12">
        <v>5.6</v>
      </c>
      <c r="F119" s="3">
        <v>21</v>
      </c>
      <c r="G119" s="13" t="s">
        <v>148</v>
      </c>
      <c r="H119" s="1" t="s">
        <v>164</v>
      </c>
      <c r="I119" s="3" t="s">
        <v>133</v>
      </c>
      <c r="J119" s="3" t="s">
        <v>586</v>
      </c>
      <c r="K119" s="3" t="s">
        <v>211</v>
      </c>
      <c r="L119" s="23">
        <v>28</v>
      </c>
      <c r="M119" s="1" t="s">
        <v>193</v>
      </c>
      <c r="N119" s="1">
        <v>2004</v>
      </c>
      <c r="O119" s="13" t="s">
        <v>194</v>
      </c>
      <c r="T119" s="31"/>
      <c r="Z119" s="3"/>
      <c r="AB119" s="4"/>
      <c r="AC119" s="31"/>
    </row>
    <row r="120" spans="1:30" x14ac:dyDescent="0.15">
      <c r="A120" s="24">
        <v>117</v>
      </c>
      <c r="B120" s="2" t="s">
        <v>126</v>
      </c>
      <c r="C120" s="4">
        <v>6.0000000000000001E-3</v>
      </c>
      <c r="D120" s="4">
        <v>8.0000000000000004E-4</v>
      </c>
      <c r="E120" s="12">
        <v>5.6</v>
      </c>
      <c r="F120" s="3">
        <v>21</v>
      </c>
      <c r="G120" s="13" t="s">
        <v>148</v>
      </c>
      <c r="H120" s="1" t="s">
        <v>164</v>
      </c>
      <c r="I120" s="3" t="s">
        <v>133</v>
      </c>
      <c r="J120" s="3" t="s">
        <v>587</v>
      </c>
      <c r="K120" s="3" t="s">
        <v>211</v>
      </c>
      <c r="L120" s="23">
        <v>28</v>
      </c>
      <c r="M120" s="1" t="s">
        <v>193</v>
      </c>
      <c r="N120" s="1">
        <v>2004</v>
      </c>
      <c r="O120" s="13" t="s">
        <v>194</v>
      </c>
      <c r="Z120" s="3"/>
      <c r="AB120" s="4"/>
      <c r="AC120" s="31"/>
    </row>
    <row r="121" spans="1:30" x14ac:dyDescent="0.15">
      <c r="A121" s="24">
        <v>118</v>
      </c>
      <c r="B121" s="2" t="s">
        <v>569</v>
      </c>
      <c r="C121" s="4">
        <v>6.1999999999999998E-3</v>
      </c>
      <c r="D121" s="4">
        <v>2E-3</v>
      </c>
      <c r="E121" s="12">
        <v>5.6</v>
      </c>
      <c r="F121" s="3">
        <v>21</v>
      </c>
      <c r="G121" s="13" t="s">
        <v>148</v>
      </c>
      <c r="H121" s="1" t="s">
        <v>164</v>
      </c>
      <c r="I121" s="3" t="s">
        <v>133</v>
      </c>
      <c r="J121" s="3" t="s">
        <v>588</v>
      </c>
      <c r="K121" s="3" t="s">
        <v>211</v>
      </c>
      <c r="L121" s="23">
        <v>28</v>
      </c>
      <c r="M121" s="1" t="s">
        <v>193</v>
      </c>
      <c r="N121" s="1">
        <v>2004</v>
      </c>
      <c r="O121" s="13" t="s">
        <v>194</v>
      </c>
      <c r="Z121" s="3"/>
      <c r="AB121" s="4"/>
      <c r="AC121" s="31"/>
    </row>
    <row r="122" spans="1:30" x14ac:dyDescent="0.15">
      <c r="A122" s="24">
        <v>119</v>
      </c>
      <c r="B122" s="2" t="s">
        <v>520</v>
      </c>
      <c r="C122" s="7">
        <v>1.4E-2</v>
      </c>
      <c r="D122" s="7">
        <v>2E-3</v>
      </c>
      <c r="E122" s="12">
        <v>5.6</v>
      </c>
      <c r="F122" s="3">
        <v>21</v>
      </c>
      <c r="G122" s="13" t="s">
        <v>148</v>
      </c>
      <c r="H122" s="1" t="s">
        <v>164</v>
      </c>
      <c r="I122" s="3" t="s">
        <v>133</v>
      </c>
      <c r="J122" s="3" t="s">
        <v>589</v>
      </c>
      <c r="K122" s="3" t="s">
        <v>206</v>
      </c>
      <c r="L122" s="23">
        <v>28</v>
      </c>
      <c r="M122" s="1" t="s">
        <v>193</v>
      </c>
      <c r="N122" s="1">
        <v>2004</v>
      </c>
      <c r="O122" s="13" t="s">
        <v>194</v>
      </c>
      <c r="Z122" s="3"/>
      <c r="AB122" s="4"/>
      <c r="AC122" s="31"/>
    </row>
    <row r="123" spans="1:30" x14ac:dyDescent="0.15">
      <c r="A123" s="24">
        <v>120</v>
      </c>
      <c r="B123" s="2" t="s">
        <v>522</v>
      </c>
      <c r="C123" s="7">
        <v>1.7999999999999999E-2</v>
      </c>
      <c r="D123" s="7">
        <v>3.0000000000000001E-3</v>
      </c>
      <c r="E123" s="12">
        <v>5.6</v>
      </c>
      <c r="F123" s="3">
        <v>21</v>
      </c>
      <c r="G123" s="13" t="s">
        <v>148</v>
      </c>
      <c r="H123" s="1" t="s">
        <v>164</v>
      </c>
      <c r="I123" s="3" t="s">
        <v>133</v>
      </c>
      <c r="J123" s="3" t="s">
        <v>590</v>
      </c>
      <c r="K123" s="3" t="s">
        <v>206</v>
      </c>
      <c r="L123" s="23">
        <v>28</v>
      </c>
      <c r="M123" s="1" t="s">
        <v>193</v>
      </c>
      <c r="N123" s="1">
        <v>2004</v>
      </c>
      <c r="O123" s="13" t="s">
        <v>194</v>
      </c>
      <c r="Z123" s="3"/>
      <c r="AB123" s="4"/>
      <c r="AC123" s="31"/>
    </row>
    <row r="124" spans="1:30" x14ac:dyDescent="0.15">
      <c r="A124" s="24">
        <v>121</v>
      </c>
      <c r="B124" s="2" t="s">
        <v>199</v>
      </c>
      <c r="C124" s="4">
        <v>2.0999999999999999E-3</v>
      </c>
      <c r="D124" s="4">
        <v>0.03</v>
      </c>
      <c r="E124" s="12">
        <v>5.6</v>
      </c>
      <c r="F124" s="3">
        <v>21</v>
      </c>
      <c r="G124" s="13" t="s">
        <v>148</v>
      </c>
      <c r="H124" s="1" t="s">
        <v>164</v>
      </c>
      <c r="I124" s="3" t="s">
        <v>133</v>
      </c>
      <c r="J124" s="3" t="s">
        <v>580</v>
      </c>
      <c r="K124" s="3" t="s">
        <v>206</v>
      </c>
      <c r="L124" s="23">
        <v>28</v>
      </c>
      <c r="M124" s="1" t="s">
        <v>193</v>
      </c>
      <c r="N124" s="1">
        <v>2004</v>
      </c>
      <c r="O124" s="13" t="s">
        <v>194</v>
      </c>
      <c r="Z124" s="3"/>
      <c r="AB124" s="4"/>
      <c r="AC124" s="31"/>
    </row>
    <row r="125" spans="1:30" x14ac:dyDescent="0.15">
      <c r="A125" s="24">
        <v>122</v>
      </c>
      <c r="B125" s="2" t="s">
        <v>200</v>
      </c>
      <c r="C125" s="4">
        <v>4.3E-3</v>
      </c>
      <c r="D125" s="4">
        <v>0.03</v>
      </c>
      <c r="E125" s="12">
        <v>5.6</v>
      </c>
      <c r="F125" s="3">
        <v>21</v>
      </c>
      <c r="G125" s="13" t="s">
        <v>148</v>
      </c>
      <c r="H125" s="1" t="s">
        <v>164</v>
      </c>
      <c r="I125" s="3" t="s">
        <v>133</v>
      </c>
      <c r="J125" s="3" t="s">
        <v>591</v>
      </c>
      <c r="K125" s="3" t="s">
        <v>212</v>
      </c>
      <c r="L125" s="23">
        <v>28</v>
      </c>
      <c r="M125" s="1" t="s">
        <v>193</v>
      </c>
      <c r="N125" s="1">
        <v>2004</v>
      </c>
      <c r="O125" s="13" t="s">
        <v>194</v>
      </c>
      <c r="Z125" s="3"/>
      <c r="AB125" s="4"/>
      <c r="AC125" s="31"/>
    </row>
    <row r="126" spans="1:30" x14ac:dyDescent="0.15">
      <c r="A126" s="24">
        <v>123</v>
      </c>
      <c r="B126" s="2" t="s">
        <v>201</v>
      </c>
      <c r="C126" s="4">
        <v>4.4000000000000003E-3</v>
      </c>
      <c r="D126" s="4">
        <v>0.08</v>
      </c>
      <c r="E126" s="12">
        <v>5.6</v>
      </c>
      <c r="F126" s="3">
        <v>21</v>
      </c>
      <c r="G126" s="13" t="s">
        <v>148</v>
      </c>
      <c r="H126" s="1" t="s">
        <v>164</v>
      </c>
      <c r="I126" s="3" t="s">
        <v>133</v>
      </c>
      <c r="J126" s="3" t="s">
        <v>592</v>
      </c>
      <c r="K126" s="3" t="s">
        <v>212</v>
      </c>
      <c r="L126" s="23">
        <v>28</v>
      </c>
      <c r="M126" s="1" t="s">
        <v>193</v>
      </c>
      <c r="N126" s="1">
        <v>2004</v>
      </c>
      <c r="O126" s="13" t="s">
        <v>194</v>
      </c>
      <c r="Z126" s="3"/>
      <c r="AB126" s="4"/>
      <c r="AC126" s="31"/>
    </row>
    <row r="127" spans="1:30" x14ac:dyDescent="0.15">
      <c r="A127" s="24">
        <v>124</v>
      </c>
      <c r="B127" s="2" t="s">
        <v>157</v>
      </c>
      <c r="C127" s="3" t="s">
        <v>215</v>
      </c>
      <c r="D127" s="3"/>
      <c r="E127" s="12">
        <v>5.6</v>
      </c>
      <c r="F127" s="3">
        <v>21</v>
      </c>
      <c r="G127" s="13" t="s">
        <v>148</v>
      </c>
      <c r="H127" s="1" t="s">
        <v>164</v>
      </c>
      <c r="I127" s="3" t="s">
        <v>133</v>
      </c>
      <c r="J127" s="3" t="s">
        <v>579</v>
      </c>
      <c r="K127" s="3" t="s">
        <v>211</v>
      </c>
      <c r="L127" s="23">
        <v>28</v>
      </c>
      <c r="M127" s="1" t="s">
        <v>193</v>
      </c>
      <c r="N127" s="1">
        <v>2004</v>
      </c>
      <c r="O127" s="13" t="s">
        <v>194</v>
      </c>
      <c r="Z127" s="3"/>
      <c r="AB127" s="4"/>
      <c r="AC127" s="31"/>
      <c r="AD127" s="34"/>
    </row>
    <row r="128" spans="1:30" x14ac:dyDescent="0.15">
      <c r="A128" s="24">
        <v>125</v>
      </c>
      <c r="B128" s="2" t="s">
        <v>202</v>
      </c>
      <c r="C128" s="3" t="s">
        <v>215</v>
      </c>
      <c r="D128" s="3"/>
      <c r="E128" s="12">
        <v>5.6</v>
      </c>
      <c r="F128" s="3">
        <v>21</v>
      </c>
      <c r="G128" s="13" t="s">
        <v>148</v>
      </c>
      <c r="H128" s="1" t="s">
        <v>164</v>
      </c>
      <c r="I128" s="3" t="s">
        <v>133</v>
      </c>
      <c r="J128" s="3" t="s">
        <v>593</v>
      </c>
      <c r="K128" s="3" t="s">
        <v>211</v>
      </c>
      <c r="L128" s="23">
        <v>28</v>
      </c>
      <c r="M128" s="1" t="s">
        <v>193</v>
      </c>
      <c r="N128" s="1">
        <v>2004</v>
      </c>
      <c r="O128" s="13" t="s">
        <v>194</v>
      </c>
      <c r="Z128" s="3"/>
      <c r="AB128" s="4"/>
      <c r="AC128" s="31"/>
      <c r="AD128" s="34"/>
    </row>
    <row r="129" spans="1:30" x14ac:dyDescent="0.15">
      <c r="A129" s="24">
        <v>126</v>
      </c>
      <c r="B129" s="2" t="s">
        <v>203</v>
      </c>
      <c r="C129" s="3" t="s">
        <v>214</v>
      </c>
      <c r="D129" s="3"/>
      <c r="E129" s="12">
        <v>5.6</v>
      </c>
      <c r="F129" s="3">
        <v>21</v>
      </c>
      <c r="G129" s="13" t="s">
        <v>148</v>
      </c>
      <c r="H129" s="1" t="s">
        <v>164</v>
      </c>
      <c r="I129" s="3" t="s">
        <v>133</v>
      </c>
      <c r="J129" s="3" t="s">
        <v>594</v>
      </c>
      <c r="K129" s="3" t="s">
        <v>213</v>
      </c>
      <c r="L129" s="23">
        <v>28</v>
      </c>
      <c r="M129" s="1" t="s">
        <v>193</v>
      </c>
      <c r="N129" s="1">
        <v>2004</v>
      </c>
      <c r="O129" s="13" t="s">
        <v>194</v>
      </c>
      <c r="Z129" s="3"/>
      <c r="AB129" s="4"/>
      <c r="AC129" s="31"/>
      <c r="AD129" s="34"/>
    </row>
    <row r="130" spans="1:30" x14ac:dyDescent="0.15">
      <c r="A130" s="24">
        <v>127</v>
      </c>
      <c r="B130" s="2" t="s">
        <v>204</v>
      </c>
      <c r="C130" s="3" t="s">
        <v>214</v>
      </c>
      <c r="D130" s="3"/>
      <c r="E130" s="12">
        <v>5.6</v>
      </c>
      <c r="F130" s="3">
        <v>21</v>
      </c>
      <c r="G130" s="13" t="s">
        <v>148</v>
      </c>
      <c r="H130" s="1" t="s">
        <v>164</v>
      </c>
      <c r="I130" s="3" t="s">
        <v>133</v>
      </c>
      <c r="J130" s="3" t="s">
        <v>595</v>
      </c>
      <c r="K130" s="3" t="s">
        <v>213</v>
      </c>
      <c r="L130" s="23">
        <v>28</v>
      </c>
      <c r="M130" s="1" t="s">
        <v>193</v>
      </c>
      <c r="N130" s="1">
        <v>2004</v>
      </c>
      <c r="O130" s="13" t="s">
        <v>194</v>
      </c>
      <c r="Z130" s="3"/>
      <c r="AB130" s="4"/>
      <c r="AC130" s="31"/>
      <c r="AD130" s="34"/>
    </row>
    <row r="131" spans="1:30" x14ac:dyDescent="0.15">
      <c r="A131" s="24">
        <v>128</v>
      </c>
      <c r="B131" s="2" t="s">
        <v>218</v>
      </c>
      <c r="C131" s="5">
        <f>0.207*1000*158/60</f>
        <v>545.1</v>
      </c>
      <c r="D131" s="5">
        <f>0.061/1.127*C131</f>
        <v>29.504081632653062</v>
      </c>
      <c r="E131" s="12">
        <v>6.7</v>
      </c>
      <c r="F131" s="3">
        <v>25</v>
      </c>
      <c r="G131" s="13" t="s">
        <v>75</v>
      </c>
      <c r="H131" s="1" t="s">
        <v>185</v>
      </c>
      <c r="I131" s="3" t="s">
        <v>133</v>
      </c>
      <c r="J131" s="3" t="s">
        <v>679</v>
      </c>
      <c r="K131" s="3" t="s">
        <v>219</v>
      </c>
      <c r="L131" s="23">
        <v>29</v>
      </c>
      <c r="M131" s="1" t="s">
        <v>217</v>
      </c>
      <c r="N131" s="1">
        <v>2005</v>
      </c>
      <c r="O131" s="13" t="s">
        <v>216</v>
      </c>
    </row>
    <row r="132" spans="1:30" x14ac:dyDescent="0.15">
      <c r="A132" s="24">
        <v>129</v>
      </c>
      <c r="B132" s="2" t="s">
        <v>221</v>
      </c>
      <c r="C132" s="6">
        <f>0.176/0.03</f>
        <v>5.8666666666666663</v>
      </c>
      <c r="D132" s="6"/>
      <c r="E132" s="12">
        <v>4.5999999999999996</v>
      </c>
      <c r="F132" s="3">
        <v>25</v>
      </c>
      <c r="G132" s="13" t="s">
        <v>680</v>
      </c>
      <c r="H132" s="1" t="s">
        <v>23</v>
      </c>
      <c r="I132" s="3" t="s">
        <v>24</v>
      </c>
      <c r="J132" s="3">
        <f>30/0.5</f>
        <v>60</v>
      </c>
      <c r="K132" s="3">
        <v>0.03</v>
      </c>
      <c r="L132" s="23">
        <v>30</v>
      </c>
      <c r="M132" s="1" t="s">
        <v>152</v>
      </c>
      <c r="N132" s="1">
        <v>2006</v>
      </c>
      <c r="O132" s="13" t="s">
        <v>220</v>
      </c>
    </row>
    <row r="133" spans="1:30" x14ac:dyDescent="0.15">
      <c r="A133" s="24">
        <v>130</v>
      </c>
      <c r="B133" s="2" t="s">
        <v>224</v>
      </c>
      <c r="C133" s="4">
        <v>1.3200000000000001E-4</v>
      </c>
      <c r="D133" s="4"/>
      <c r="E133" s="12">
        <v>7</v>
      </c>
      <c r="F133" s="3">
        <v>25</v>
      </c>
      <c r="G133" s="13" t="s">
        <v>227</v>
      </c>
      <c r="H133" s="1" t="s">
        <v>23</v>
      </c>
      <c r="I133" s="3" t="s">
        <v>24</v>
      </c>
      <c r="J133" s="3" t="s">
        <v>225</v>
      </c>
      <c r="K133" s="3" t="s">
        <v>226</v>
      </c>
      <c r="L133" s="23">
        <v>31</v>
      </c>
      <c r="M133" s="1" t="s">
        <v>222</v>
      </c>
      <c r="N133" s="1">
        <v>2006</v>
      </c>
      <c r="O133" s="13" t="s">
        <v>223</v>
      </c>
    </row>
    <row r="134" spans="1:30" x14ac:dyDescent="0.15">
      <c r="A134" s="24">
        <v>131</v>
      </c>
      <c r="B134" s="38" t="s">
        <v>608</v>
      </c>
      <c r="C134" s="7">
        <f>AVERAGE(0.0458,0.0411)</f>
        <v>4.3450000000000003E-2</v>
      </c>
      <c r="D134" s="7">
        <f>STDEV(0.0458,0.0411)</f>
        <v>3.3234018715767753E-3</v>
      </c>
      <c r="E134" s="29">
        <v>7</v>
      </c>
      <c r="F134" s="5">
        <v>25</v>
      </c>
      <c r="G134" s="30" t="s">
        <v>112</v>
      </c>
      <c r="H134" s="1" t="s">
        <v>23</v>
      </c>
      <c r="I134" s="3" t="s">
        <v>24</v>
      </c>
      <c r="J134" s="3">
        <v>10</v>
      </c>
      <c r="K134" s="7">
        <v>1E-3</v>
      </c>
      <c r="L134" s="23">
        <v>31</v>
      </c>
      <c r="M134" s="1" t="s">
        <v>222</v>
      </c>
      <c r="N134" s="1">
        <v>2006</v>
      </c>
      <c r="O134" s="13" t="s">
        <v>223</v>
      </c>
    </row>
    <row r="135" spans="1:30" x14ac:dyDescent="0.15">
      <c r="A135" s="24">
        <v>132</v>
      </c>
      <c r="B135" s="2" t="s">
        <v>607</v>
      </c>
      <c r="C135" s="6">
        <v>0.76</v>
      </c>
      <c r="D135" s="6">
        <v>0.03</v>
      </c>
      <c r="E135" s="29">
        <v>7</v>
      </c>
      <c r="F135" s="5">
        <v>25</v>
      </c>
      <c r="G135" s="30" t="s">
        <v>112</v>
      </c>
      <c r="H135" s="1" t="s">
        <v>23</v>
      </c>
      <c r="I135" s="3" t="s">
        <v>24</v>
      </c>
      <c r="J135" s="3" t="s">
        <v>228</v>
      </c>
      <c r="K135" s="3" t="s">
        <v>60</v>
      </c>
      <c r="L135" s="23">
        <v>31</v>
      </c>
      <c r="M135" s="1" t="s">
        <v>222</v>
      </c>
      <c r="N135" s="1">
        <v>2006</v>
      </c>
      <c r="O135" s="13" t="s">
        <v>223</v>
      </c>
    </row>
    <row r="136" spans="1:30" x14ac:dyDescent="0.15">
      <c r="A136" s="24">
        <v>133</v>
      </c>
      <c r="B136" s="2" t="s">
        <v>609</v>
      </c>
      <c r="C136" s="6">
        <v>0.71</v>
      </c>
      <c r="D136" s="6">
        <v>0.06</v>
      </c>
      <c r="E136" s="29">
        <v>7</v>
      </c>
      <c r="F136" s="5">
        <v>25</v>
      </c>
      <c r="G136" s="30" t="s">
        <v>112</v>
      </c>
      <c r="H136" s="1" t="s">
        <v>23</v>
      </c>
      <c r="I136" s="3" t="s">
        <v>24</v>
      </c>
      <c r="J136" s="3" t="s">
        <v>228</v>
      </c>
      <c r="K136" s="3" t="s">
        <v>229</v>
      </c>
      <c r="L136" s="23">
        <v>31</v>
      </c>
      <c r="M136" s="1" t="s">
        <v>222</v>
      </c>
      <c r="N136" s="1">
        <v>2006</v>
      </c>
      <c r="O136" s="13" t="s">
        <v>223</v>
      </c>
    </row>
    <row r="137" spans="1:30" x14ac:dyDescent="0.15">
      <c r="A137" s="24">
        <v>134</v>
      </c>
      <c r="B137" s="2" t="s">
        <v>230</v>
      </c>
      <c r="C137" s="4">
        <v>4.1900000000000002E-5</v>
      </c>
      <c r="D137" s="4"/>
      <c r="E137" s="29">
        <v>7</v>
      </c>
      <c r="F137" s="5">
        <v>25</v>
      </c>
      <c r="G137" s="30" t="s">
        <v>112</v>
      </c>
      <c r="H137" s="1" t="s">
        <v>23</v>
      </c>
      <c r="I137" s="3" t="s">
        <v>24</v>
      </c>
      <c r="J137" s="3" t="s">
        <v>231</v>
      </c>
      <c r="K137" s="3" t="s">
        <v>232</v>
      </c>
      <c r="L137" s="23">
        <v>31</v>
      </c>
      <c r="M137" s="1" t="s">
        <v>222</v>
      </c>
      <c r="N137" s="1">
        <v>2006</v>
      </c>
      <c r="O137" s="13" t="s">
        <v>223</v>
      </c>
    </row>
    <row r="138" spans="1:30" x14ac:dyDescent="0.15">
      <c r="A138" s="24">
        <v>135</v>
      </c>
      <c r="B138" s="2" t="s">
        <v>233</v>
      </c>
      <c r="C138" s="4">
        <v>9.0700000000000004E-4</v>
      </c>
      <c r="D138" s="4"/>
      <c r="E138" s="29">
        <v>7</v>
      </c>
      <c r="F138" s="5">
        <v>25</v>
      </c>
      <c r="G138" s="30" t="s">
        <v>227</v>
      </c>
      <c r="H138" s="1" t="s">
        <v>23</v>
      </c>
      <c r="I138" s="3" t="s">
        <v>24</v>
      </c>
      <c r="J138" s="3" t="s">
        <v>234</v>
      </c>
      <c r="K138" s="3" t="s">
        <v>93</v>
      </c>
      <c r="L138" s="23">
        <v>31</v>
      </c>
      <c r="M138" s="1" t="s">
        <v>222</v>
      </c>
      <c r="N138" s="1">
        <v>2006</v>
      </c>
      <c r="O138" s="13" t="s">
        <v>223</v>
      </c>
    </row>
    <row r="139" spans="1:30" x14ac:dyDescent="0.15">
      <c r="A139" s="24">
        <v>136</v>
      </c>
      <c r="B139" s="2" t="s">
        <v>168</v>
      </c>
      <c r="C139" s="4">
        <f>AVERAGE(0.0000985, 0.000104)</f>
        <v>1.0124999999999999E-4</v>
      </c>
      <c r="D139" s="4">
        <f>STDEV(0.0000985, 0.000104)</f>
        <v>3.8890872965260103E-6</v>
      </c>
      <c r="E139" s="29">
        <v>7</v>
      </c>
      <c r="F139" s="5">
        <v>25</v>
      </c>
      <c r="G139" s="30" t="s">
        <v>235</v>
      </c>
      <c r="H139" s="1" t="s">
        <v>23</v>
      </c>
      <c r="I139" s="3" t="s">
        <v>24</v>
      </c>
      <c r="J139" s="3" t="s">
        <v>236</v>
      </c>
      <c r="K139" s="3">
        <v>0.05</v>
      </c>
      <c r="L139" s="23">
        <v>31</v>
      </c>
      <c r="M139" s="1" t="s">
        <v>222</v>
      </c>
      <c r="N139" s="1">
        <v>2006</v>
      </c>
      <c r="O139" s="13" t="s">
        <v>223</v>
      </c>
    </row>
    <row r="140" spans="1:30" x14ac:dyDescent="0.15">
      <c r="A140" s="24">
        <v>137</v>
      </c>
      <c r="B140" s="2" t="s">
        <v>237</v>
      </c>
      <c r="C140" s="4">
        <f>AVERAGE(0.000388,0.000278)</f>
        <v>3.3299999999999996E-4</v>
      </c>
      <c r="D140" s="4">
        <f>STDEV(0.000388,0.000278)</f>
        <v>7.7781745930520239E-5</v>
      </c>
      <c r="E140" s="29">
        <v>7</v>
      </c>
      <c r="F140" s="5">
        <v>25</v>
      </c>
      <c r="G140" s="30" t="s">
        <v>227</v>
      </c>
      <c r="H140" s="1" t="s">
        <v>23</v>
      </c>
      <c r="I140" s="3" t="s">
        <v>24</v>
      </c>
      <c r="J140" s="3" t="s">
        <v>239</v>
      </c>
      <c r="K140" s="3" t="s">
        <v>238</v>
      </c>
      <c r="L140" s="23">
        <v>31</v>
      </c>
      <c r="M140" s="1" t="s">
        <v>222</v>
      </c>
      <c r="N140" s="1">
        <v>2006</v>
      </c>
      <c r="O140" s="13" t="s">
        <v>223</v>
      </c>
    </row>
    <row r="141" spans="1:30" x14ac:dyDescent="0.15">
      <c r="A141" s="24">
        <v>138</v>
      </c>
      <c r="B141" s="2" t="s">
        <v>122</v>
      </c>
      <c r="C141" s="4">
        <v>8.3199999999999995E-4</v>
      </c>
      <c r="D141" s="4"/>
      <c r="E141" s="29">
        <v>7</v>
      </c>
      <c r="F141" s="5">
        <v>25</v>
      </c>
      <c r="G141" s="30" t="s">
        <v>112</v>
      </c>
      <c r="H141" s="1" t="s">
        <v>23</v>
      </c>
      <c r="I141" s="3" t="s">
        <v>24</v>
      </c>
      <c r="J141" s="3">
        <v>40</v>
      </c>
      <c r="K141" s="3">
        <v>4.0000000000000001E-3</v>
      </c>
      <c r="L141" s="23">
        <v>31</v>
      </c>
      <c r="M141" s="1" t="s">
        <v>222</v>
      </c>
      <c r="N141" s="1">
        <v>2006</v>
      </c>
      <c r="O141" s="13" t="s">
        <v>223</v>
      </c>
    </row>
    <row r="142" spans="1:30" x14ac:dyDescent="0.15">
      <c r="A142" s="24">
        <v>139</v>
      </c>
      <c r="B142" s="2" t="s">
        <v>525</v>
      </c>
      <c r="C142" s="6">
        <v>0.24299999999999999</v>
      </c>
      <c r="D142" s="6"/>
      <c r="E142" s="29">
        <v>7</v>
      </c>
      <c r="F142" s="5">
        <v>25</v>
      </c>
      <c r="G142" s="30" t="s">
        <v>112</v>
      </c>
      <c r="H142" s="1" t="s">
        <v>23</v>
      </c>
      <c r="I142" s="3" t="s">
        <v>24</v>
      </c>
      <c r="J142" s="3">
        <v>5</v>
      </c>
      <c r="K142" s="3">
        <v>2E-3</v>
      </c>
      <c r="L142" s="23">
        <v>31</v>
      </c>
      <c r="M142" s="1" t="s">
        <v>222</v>
      </c>
      <c r="N142" s="1">
        <v>2006</v>
      </c>
      <c r="O142" s="13" t="s">
        <v>223</v>
      </c>
    </row>
    <row r="143" spans="1:30" x14ac:dyDescent="0.15">
      <c r="A143" s="24">
        <v>140</v>
      </c>
      <c r="B143" s="2" t="s">
        <v>240</v>
      </c>
      <c r="C143" s="7">
        <f>AVERAGE(0.0643,0.056)</f>
        <v>6.0149999999999995E-2</v>
      </c>
      <c r="D143" s="7">
        <f>STDEV(0.0643,0.056)</f>
        <v>5.8689862838483412E-3</v>
      </c>
      <c r="E143" s="29">
        <v>7</v>
      </c>
      <c r="F143" s="5">
        <v>25</v>
      </c>
      <c r="G143" s="30" t="s">
        <v>112</v>
      </c>
      <c r="H143" s="1" t="s">
        <v>23</v>
      </c>
      <c r="I143" s="3" t="s">
        <v>24</v>
      </c>
      <c r="J143" s="3" t="s">
        <v>241</v>
      </c>
      <c r="K143" s="3" t="s">
        <v>242</v>
      </c>
      <c r="L143" s="23">
        <v>31</v>
      </c>
      <c r="M143" s="1" t="s">
        <v>222</v>
      </c>
      <c r="N143" s="1">
        <v>2006</v>
      </c>
      <c r="O143" s="13" t="s">
        <v>223</v>
      </c>
    </row>
    <row r="144" spans="1:30" x14ac:dyDescent="0.15">
      <c r="A144" s="24">
        <v>141</v>
      </c>
      <c r="B144" s="2" t="s">
        <v>519</v>
      </c>
      <c r="C144" s="4">
        <v>5.6300000000000002E-4</v>
      </c>
      <c r="D144" s="4"/>
      <c r="E144" s="29">
        <v>7</v>
      </c>
      <c r="F144" s="5">
        <v>25</v>
      </c>
      <c r="G144" s="30" t="s">
        <v>112</v>
      </c>
      <c r="H144" s="1" t="s">
        <v>23</v>
      </c>
      <c r="I144" s="3" t="s">
        <v>24</v>
      </c>
      <c r="J144" s="3">
        <v>50</v>
      </c>
      <c r="K144" s="7">
        <v>5.0000000000000001E-3</v>
      </c>
      <c r="L144" s="23">
        <v>31</v>
      </c>
      <c r="M144" s="1" t="s">
        <v>222</v>
      </c>
      <c r="N144" s="1">
        <v>2006</v>
      </c>
      <c r="O144" s="13" t="s">
        <v>223</v>
      </c>
    </row>
    <row r="145" spans="1:15" x14ac:dyDescent="0.15">
      <c r="A145" s="24">
        <v>142</v>
      </c>
      <c r="B145" s="2" t="s">
        <v>685</v>
      </c>
      <c r="C145" s="6">
        <v>0.16</v>
      </c>
      <c r="D145" s="6"/>
      <c r="E145" s="29">
        <v>7</v>
      </c>
      <c r="F145" s="5">
        <v>22</v>
      </c>
      <c r="G145" s="30" t="s">
        <v>112</v>
      </c>
      <c r="H145" s="1" t="s">
        <v>23</v>
      </c>
      <c r="I145" s="3" t="s">
        <v>24</v>
      </c>
      <c r="J145" s="3" t="s">
        <v>244</v>
      </c>
      <c r="K145" s="3" t="s">
        <v>243</v>
      </c>
      <c r="L145" s="23">
        <v>31</v>
      </c>
      <c r="M145" s="1" t="s">
        <v>222</v>
      </c>
      <c r="N145" s="1">
        <v>2006</v>
      </c>
      <c r="O145" s="13" t="s">
        <v>223</v>
      </c>
    </row>
    <row r="146" spans="1:15" x14ac:dyDescent="0.15">
      <c r="A146" s="24">
        <v>143</v>
      </c>
      <c r="B146" s="2" t="s">
        <v>611</v>
      </c>
      <c r="C146" s="8">
        <v>39</v>
      </c>
      <c r="D146" s="8">
        <v>3</v>
      </c>
      <c r="E146" s="29">
        <v>7</v>
      </c>
      <c r="F146" s="5">
        <v>25</v>
      </c>
      <c r="G146" s="30" t="s">
        <v>112</v>
      </c>
      <c r="H146" s="1" t="s">
        <v>23</v>
      </c>
      <c r="I146" s="3" t="s">
        <v>24</v>
      </c>
      <c r="J146" s="3" t="s">
        <v>245</v>
      </c>
      <c r="K146" s="3" t="s">
        <v>246</v>
      </c>
      <c r="L146" s="23">
        <v>31</v>
      </c>
      <c r="M146" s="1" t="s">
        <v>222</v>
      </c>
      <c r="N146" s="1">
        <v>2006</v>
      </c>
      <c r="O146" s="13" t="s">
        <v>223</v>
      </c>
    </row>
    <row r="147" spans="1:15" x14ac:dyDescent="0.15">
      <c r="A147" s="24">
        <v>144</v>
      </c>
      <c r="B147" s="2" t="s">
        <v>247</v>
      </c>
      <c r="C147" s="8">
        <v>77</v>
      </c>
      <c r="D147" s="8">
        <v>5</v>
      </c>
      <c r="E147" s="29">
        <v>7</v>
      </c>
      <c r="F147" s="5">
        <v>25</v>
      </c>
      <c r="G147" s="30" t="s">
        <v>112</v>
      </c>
      <c r="H147" s="1" t="s">
        <v>23</v>
      </c>
      <c r="I147" s="3" t="s">
        <v>24</v>
      </c>
      <c r="J147" s="3" t="s">
        <v>97</v>
      </c>
      <c r="K147" s="3" t="s">
        <v>248</v>
      </c>
      <c r="L147" s="23">
        <v>31</v>
      </c>
      <c r="M147" s="1" t="s">
        <v>222</v>
      </c>
      <c r="N147" s="1">
        <v>2006</v>
      </c>
      <c r="O147" s="13" t="s">
        <v>223</v>
      </c>
    </row>
    <row r="148" spans="1:15" x14ac:dyDescent="0.15">
      <c r="A148" s="24">
        <v>145</v>
      </c>
      <c r="B148" s="2" t="s">
        <v>249</v>
      </c>
      <c r="C148" s="8">
        <v>74</v>
      </c>
      <c r="D148" s="8">
        <v>7</v>
      </c>
      <c r="E148" s="29">
        <v>7</v>
      </c>
      <c r="F148" s="5">
        <v>25</v>
      </c>
      <c r="G148" s="30" t="s">
        <v>112</v>
      </c>
      <c r="H148" s="1" t="s">
        <v>23</v>
      </c>
      <c r="I148" s="3" t="s">
        <v>24</v>
      </c>
      <c r="J148" s="3" t="s">
        <v>250</v>
      </c>
      <c r="K148" s="3" t="s">
        <v>251</v>
      </c>
      <c r="L148" s="23">
        <v>31</v>
      </c>
      <c r="M148" s="1" t="s">
        <v>222</v>
      </c>
      <c r="N148" s="1">
        <v>2006</v>
      </c>
      <c r="O148" s="13" t="s">
        <v>223</v>
      </c>
    </row>
    <row r="149" spans="1:15" x14ac:dyDescent="0.15">
      <c r="A149" s="24">
        <v>146</v>
      </c>
      <c r="B149" s="2" t="s">
        <v>252</v>
      </c>
      <c r="C149" s="8">
        <v>13.4</v>
      </c>
      <c r="D149" s="8">
        <v>0.7</v>
      </c>
      <c r="E149" s="29">
        <v>7</v>
      </c>
      <c r="F149" s="5">
        <v>25</v>
      </c>
      <c r="G149" s="30" t="s">
        <v>112</v>
      </c>
      <c r="H149" s="1" t="s">
        <v>23</v>
      </c>
      <c r="I149" s="3" t="s">
        <v>24</v>
      </c>
      <c r="J149" s="3" t="s">
        <v>253</v>
      </c>
      <c r="K149" s="3" t="s">
        <v>48</v>
      </c>
      <c r="L149" s="23">
        <v>31</v>
      </c>
      <c r="M149" s="1" t="s">
        <v>222</v>
      </c>
      <c r="N149" s="1">
        <v>2006</v>
      </c>
      <c r="O149" s="13" t="s">
        <v>223</v>
      </c>
    </row>
    <row r="150" spans="1:15" x14ac:dyDescent="0.15">
      <c r="A150" s="24">
        <v>147</v>
      </c>
      <c r="B150" s="2" t="s">
        <v>180</v>
      </c>
      <c r="C150" s="5">
        <v>142</v>
      </c>
      <c r="D150" s="5">
        <v>3</v>
      </c>
      <c r="E150" s="29">
        <v>7</v>
      </c>
      <c r="F150" s="5">
        <v>25</v>
      </c>
      <c r="G150" s="30" t="s">
        <v>112</v>
      </c>
      <c r="H150" s="1" t="s">
        <v>23</v>
      </c>
      <c r="I150" s="3" t="s">
        <v>24</v>
      </c>
      <c r="J150" s="3" t="s">
        <v>97</v>
      </c>
      <c r="K150" s="3" t="s">
        <v>248</v>
      </c>
      <c r="L150" s="23">
        <v>31</v>
      </c>
      <c r="M150" s="1" t="s">
        <v>222</v>
      </c>
      <c r="N150" s="1">
        <v>2006</v>
      </c>
      <c r="O150" s="13" t="s">
        <v>223</v>
      </c>
    </row>
    <row r="151" spans="1:15" x14ac:dyDescent="0.15">
      <c r="A151" s="24">
        <v>148</v>
      </c>
      <c r="B151" s="2" t="s">
        <v>254</v>
      </c>
      <c r="C151" s="5">
        <v>120</v>
      </c>
      <c r="D151" s="5">
        <v>9</v>
      </c>
      <c r="E151" s="29">
        <v>7</v>
      </c>
      <c r="F151" s="5">
        <v>25</v>
      </c>
      <c r="G151" s="13" t="s">
        <v>112</v>
      </c>
      <c r="H151" s="1" t="s">
        <v>23</v>
      </c>
      <c r="I151" s="3" t="s">
        <v>24</v>
      </c>
      <c r="J151" s="3" t="s">
        <v>55</v>
      </c>
      <c r="K151" s="3" t="s">
        <v>28</v>
      </c>
      <c r="L151" s="23">
        <v>31</v>
      </c>
      <c r="M151" s="1" t="s">
        <v>222</v>
      </c>
      <c r="N151" s="1">
        <v>2006</v>
      </c>
      <c r="O151" s="13" t="s">
        <v>223</v>
      </c>
    </row>
    <row r="152" spans="1:15" x14ac:dyDescent="0.15">
      <c r="A152" s="24">
        <v>149</v>
      </c>
      <c r="B152" s="2" t="s">
        <v>526</v>
      </c>
      <c r="C152" s="8">
        <v>98</v>
      </c>
      <c r="D152" s="8">
        <v>4</v>
      </c>
      <c r="E152" s="29">
        <v>7</v>
      </c>
      <c r="F152" s="5">
        <v>25</v>
      </c>
      <c r="G152" s="13" t="s">
        <v>112</v>
      </c>
      <c r="H152" s="1" t="s">
        <v>23</v>
      </c>
      <c r="I152" s="3" t="s">
        <v>24</v>
      </c>
      <c r="J152" s="3" t="s">
        <v>97</v>
      </c>
      <c r="K152" s="3" t="s">
        <v>248</v>
      </c>
      <c r="L152" s="23">
        <v>31</v>
      </c>
      <c r="M152" s="1" t="s">
        <v>222</v>
      </c>
      <c r="N152" s="1">
        <v>2006</v>
      </c>
      <c r="O152" s="13" t="s">
        <v>223</v>
      </c>
    </row>
    <row r="153" spans="1:15" x14ac:dyDescent="0.15">
      <c r="A153" s="24">
        <v>150</v>
      </c>
      <c r="B153" s="2" t="s">
        <v>529</v>
      </c>
      <c r="C153" s="5">
        <v>237</v>
      </c>
      <c r="D153" s="5">
        <v>3</v>
      </c>
      <c r="E153" s="29">
        <v>7</v>
      </c>
      <c r="F153" s="5">
        <v>25</v>
      </c>
      <c r="G153" s="13" t="s">
        <v>112</v>
      </c>
      <c r="H153" s="1" t="s">
        <v>23</v>
      </c>
      <c r="I153" s="3" t="s">
        <v>24</v>
      </c>
      <c r="J153" s="3" t="s">
        <v>255</v>
      </c>
      <c r="K153" s="3" t="s">
        <v>256</v>
      </c>
      <c r="L153" s="23">
        <v>31</v>
      </c>
      <c r="M153" s="1" t="s">
        <v>222</v>
      </c>
      <c r="N153" s="1">
        <v>2006</v>
      </c>
      <c r="O153" s="13" t="s">
        <v>223</v>
      </c>
    </row>
    <row r="154" spans="1:15" x14ac:dyDescent="0.15">
      <c r="A154" s="24">
        <v>151</v>
      </c>
      <c r="B154" s="2" t="s">
        <v>257</v>
      </c>
      <c r="C154" s="8">
        <v>15.7</v>
      </c>
      <c r="D154" s="8">
        <v>0.4</v>
      </c>
      <c r="E154" s="29">
        <v>7</v>
      </c>
      <c r="F154" s="5">
        <v>25</v>
      </c>
      <c r="G154" s="13" t="s">
        <v>112</v>
      </c>
      <c r="H154" s="1" t="s">
        <v>23</v>
      </c>
      <c r="I154" s="3" t="s">
        <v>24</v>
      </c>
      <c r="J154" s="3" t="s">
        <v>228</v>
      </c>
      <c r="K154" s="3" t="s">
        <v>60</v>
      </c>
      <c r="L154" s="23">
        <v>31</v>
      </c>
      <c r="M154" s="1" t="s">
        <v>222</v>
      </c>
      <c r="N154" s="1">
        <v>2006</v>
      </c>
      <c r="O154" s="13" t="s">
        <v>223</v>
      </c>
    </row>
    <row r="155" spans="1:15" x14ac:dyDescent="0.15">
      <c r="A155" s="24">
        <v>152</v>
      </c>
      <c r="B155" s="2" t="s">
        <v>258</v>
      </c>
      <c r="C155" s="6">
        <v>2.4</v>
      </c>
      <c r="D155" s="6">
        <v>0.2</v>
      </c>
      <c r="E155" s="29">
        <v>7</v>
      </c>
      <c r="F155" s="5">
        <v>25</v>
      </c>
      <c r="G155" s="13" t="s">
        <v>112</v>
      </c>
      <c r="H155" s="1" t="s">
        <v>23</v>
      </c>
      <c r="I155" s="3" t="s">
        <v>24</v>
      </c>
      <c r="J155" s="3" t="s">
        <v>97</v>
      </c>
      <c r="K155" s="3" t="s">
        <v>248</v>
      </c>
      <c r="L155" s="23">
        <v>31</v>
      </c>
      <c r="M155" s="1" t="s">
        <v>222</v>
      </c>
      <c r="N155" s="1">
        <v>2006</v>
      </c>
      <c r="O155" s="13" t="s">
        <v>223</v>
      </c>
    </row>
    <row r="156" spans="1:15" x14ac:dyDescent="0.15">
      <c r="A156" s="24">
        <v>153</v>
      </c>
      <c r="B156" s="2" t="s">
        <v>261</v>
      </c>
      <c r="C156" s="5">
        <v>357.2</v>
      </c>
      <c r="D156" s="5">
        <v>17.5</v>
      </c>
      <c r="E156" s="12">
        <v>7.2</v>
      </c>
      <c r="F156" s="3">
        <v>20</v>
      </c>
      <c r="G156" s="13" t="s">
        <v>262</v>
      </c>
      <c r="H156" s="1" t="s">
        <v>185</v>
      </c>
      <c r="I156" s="3" t="s">
        <v>133</v>
      </c>
      <c r="J156" s="3" t="s">
        <v>263</v>
      </c>
      <c r="K156" s="3" t="s">
        <v>264</v>
      </c>
      <c r="L156" s="23">
        <v>32</v>
      </c>
      <c r="M156" s="1" t="s">
        <v>260</v>
      </c>
      <c r="N156" s="1">
        <v>2007</v>
      </c>
      <c r="O156" s="13" t="s">
        <v>259</v>
      </c>
    </row>
    <row r="157" spans="1:15" x14ac:dyDescent="0.15">
      <c r="A157" s="24">
        <v>154</v>
      </c>
      <c r="B157" s="2" t="s">
        <v>218</v>
      </c>
      <c r="C157" s="5">
        <v>418</v>
      </c>
      <c r="D157" s="5"/>
      <c r="E157" s="12">
        <v>7.2</v>
      </c>
      <c r="F157" s="3">
        <v>20</v>
      </c>
      <c r="G157" s="13" t="s">
        <v>262</v>
      </c>
      <c r="H157" s="1" t="s">
        <v>185</v>
      </c>
      <c r="I157" s="3" t="s">
        <v>620</v>
      </c>
      <c r="J157" s="3" t="s">
        <v>408</v>
      </c>
      <c r="K157" s="96" t="s">
        <v>408</v>
      </c>
      <c r="L157" s="23">
        <v>32</v>
      </c>
      <c r="M157" s="1" t="s">
        <v>260</v>
      </c>
      <c r="N157" s="1">
        <v>2007</v>
      </c>
      <c r="O157" s="13" t="s">
        <v>259</v>
      </c>
    </row>
    <row r="158" spans="1:15" x14ac:dyDescent="0.15">
      <c r="A158" s="24">
        <v>155</v>
      </c>
      <c r="B158" s="2" t="s">
        <v>265</v>
      </c>
      <c r="C158" s="5">
        <v>405.9</v>
      </c>
      <c r="D158" s="5"/>
      <c r="E158" s="12">
        <v>7.2</v>
      </c>
      <c r="F158" s="3">
        <v>20</v>
      </c>
      <c r="G158" s="13" t="s">
        <v>262</v>
      </c>
      <c r="H158" s="1" t="s">
        <v>185</v>
      </c>
      <c r="I158" s="3" t="s">
        <v>620</v>
      </c>
      <c r="J158" s="3" t="s">
        <v>408</v>
      </c>
      <c r="K158" s="96" t="s">
        <v>408</v>
      </c>
      <c r="L158" s="23">
        <v>32</v>
      </c>
      <c r="M158" s="1" t="s">
        <v>260</v>
      </c>
      <c r="N158" s="1">
        <v>2007</v>
      </c>
      <c r="O158" s="13" t="s">
        <v>259</v>
      </c>
    </row>
    <row r="159" spans="1:15" x14ac:dyDescent="0.15">
      <c r="A159" s="24">
        <v>156</v>
      </c>
      <c r="B159" s="2" t="s">
        <v>890</v>
      </c>
      <c r="C159" s="5">
        <v>455.8</v>
      </c>
      <c r="D159" s="5">
        <v>4.3</v>
      </c>
      <c r="E159" s="12">
        <v>7</v>
      </c>
      <c r="F159" s="3">
        <v>20</v>
      </c>
      <c r="G159" s="13" t="s">
        <v>262</v>
      </c>
      <c r="H159" s="1" t="s">
        <v>185</v>
      </c>
      <c r="I159" s="3" t="s">
        <v>133</v>
      </c>
      <c r="J159" s="3" t="s">
        <v>268</v>
      </c>
      <c r="K159" s="3" t="s">
        <v>267</v>
      </c>
      <c r="L159" s="23">
        <v>32</v>
      </c>
      <c r="M159" s="1" t="s">
        <v>260</v>
      </c>
      <c r="N159" s="1">
        <v>2007</v>
      </c>
      <c r="O159" s="13" t="s">
        <v>259</v>
      </c>
    </row>
    <row r="160" spans="1:15" x14ac:dyDescent="0.15">
      <c r="A160" s="24">
        <v>157</v>
      </c>
      <c r="B160" s="2" t="s">
        <v>271</v>
      </c>
      <c r="C160" s="5">
        <v>21000</v>
      </c>
      <c r="D160" s="5">
        <v>3000</v>
      </c>
      <c r="E160" s="12">
        <v>7</v>
      </c>
      <c r="F160" s="3">
        <v>20</v>
      </c>
      <c r="G160" s="13" t="s">
        <v>262</v>
      </c>
      <c r="H160" s="1" t="s">
        <v>185</v>
      </c>
      <c r="I160" s="3" t="s">
        <v>133</v>
      </c>
      <c r="J160" s="3" t="s">
        <v>273</v>
      </c>
      <c r="K160" s="3" t="s">
        <v>598</v>
      </c>
      <c r="L160" s="23">
        <v>33</v>
      </c>
      <c r="M160" s="1" t="s">
        <v>260</v>
      </c>
      <c r="N160" s="1">
        <v>2007</v>
      </c>
      <c r="O160" s="13" t="s">
        <v>269</v>
      </c>
    </row>
    <row r="161" spans="1:15" x14ac:dyDescent="0.15">
      <c r="A161" s="24">
        <v>158</v>
      </c>
      <c r="B161" s="2" t="s">
        <v>270</v>
      </c>
      <c r="C161" s="6">
        <v>0.3</v>
      </c>
      <c r="D161" s="6"/>
      <c r="E161" s="12">
        <v>7</v>
      </c>
      <c r="F161" s="3">
        <v>20</v>
      </c>
      <c r="G161" s="13" t="s">
        <v>262</v>
      </c>
      <c r="H161" s="1" t="s">
        <v>185</v>
      </c>
      <c r="I161" s="3" t="s">
        <v>133</v>
      </c>
      <c r="J161" s="3" t="s">
        <v>276</v>
      </c>
      <c r="K161" s="3" t="s">
        <v>275</v>
      </c>
      <c r="L161" s="23">
        <v>34</v>
      </c>
      <c r="M161" s="1" t="s">
        <v>260</v>
      </c>
      <c r="N161" s="1">
        <v>2007</v>
      </c>
      <c r="O161" s="13" t="s">
        <v>274</v>
      </c>
    </row>
    <row r="162" spans="1:15" x14ac:dyDescent="0.15">
      <c r="A162" s="24">
        <v>159</v>
      </c>
      <c r="B162" s="2" t="s">
        <v>15</v>
      </c>
      <c r="C162" s="6">
        <v>4.4000000000000004</v>
      </c>
      <c r="D162" s="6"/>
      <c r="E162" s="12">
        <v>7</v>
      </c>
      <c r="F162" s="3">
        <v>19</v>
      </c>
      <c r="G162" s="13" t="s">
        <v>346</v>
      </c>
      <c r="H162" s="1" t="s">
        <v>185</v>
      </c>
      <c r="I162" s="3" t="s">
        <v>133</v>
      </c>
      <c r="J162" s="3">
        <v>5</v>
      </c>
      <c r="K162" s="3">
        <v>5.0000000000000002E-5</v>
      </c>
      <c r="L162" s="23">
        <v>35</v>
      </c>
      <c r="M162" s="1" t="s">
        <v>278</v>
      </c>
      <c r="N162" s="1">
        <v>2009</v>
      </c>
      <c r="O162" s="13" t="s">
        <v>279</v>
      </c>
    </row>
    <row r="163" spans="1:15" x14ac:dyDescent="0.15">
      <c r="A163" s="24">
        <v>160</v>
      </c>
      <c r="B163" s="2" t="s">
        <v>282</v>
      </c>
      <c r="C163" s="5">
        <v>300</v>
      </c>
      <c r="D163" s="5">
        <v>30</v>
      </c>
      <c r="E163" s="12">
        <v>7</v>
      </c>
      <c r="F163" s="3">
        <v>25</v>
      </c>
      <c r="G163" s="13" t="s">
        <v>283</v>
      </c>
      <c r="H163" s="1" t="s">
        <v>185</v>
      </c>
      <c r="I163" s="3" t="s">
        <v>133</v>
      </c>
      <c r="J163" s="3" t="s">
        <v>97</v>
      </c>
      <c r="K163" s="3" t="s">
        <v>272</v>
      </c>
      <c r="L163" s="23">
        <v>36</v>
      </c>
      <c r="M163" s="1" t="s">
        <v>280</v>
      </c>
      <c r="N163" s="1">
        <v>2009</v>
      </c>
      <c r="O163" s="13" t="s">
        <v>281</v>
      </c>
    </row>
    <row r="164" spans="1:15" x14ac:dyDescent="0.15">
      <c r="A164" s="24">
        <v>161</v>
      </c>
      <c r="B164" s="2" t="s">
        <v>286</v>
      </c>
      <c r="C164" s="5">
        <v>129</v>
      </c>
      <c r="D164" s="5">
        <f>0.05*C164</f>
        <v>6.45</v>
      </c>
      <c r="E164" s="12">
        <v>7</v>
      </c>
      <c r="F164" s="3">
        <v>23</v>
      </c>
      <c r="G164" s="13" t="s">
        <v>289</v>
      </c>
      <c r="H164" s="1" t="s">
        <v>185</v>
      </c>
      <c r="I164" s="3" t="s">
        <v>133</v>
      </c>
      <c r="J164" s="3" t="s">
        <v>287</v>
      </c>
      <c r="K164" s="3" t="s">
        <v>288</v>
      </c>
      <c r="L164" s="23">
        <v>37</v>
      </c>
      <c r="M164" s="14" t="s">
        <v>285</v>
      </c>
      <c r="N164" s="1">
        <v>2009</v>
      </c>
      <c r="O164" s="13" t="s">
        <v>284</v>
      </c>
    </row>
    <row r="165" spans="1:15" x14ac:dyDescent="0.15">
      <c r="A165" s="24">
        <v>162</v>
      </c>
      <c r="B165" s="2" t="s">
        <v>15</v>
      </c>
      <c r="C165" s="6">
        <v>6.14</v>
      </c>
      <c r="D165" s="6">
        <f t="shared" ref="D165:D166" si="3">0.05*C165</f>
        <v>0.307</v>
      </c>
      <c r="E165" s="12">
        <v>7</v>
      </c>
      <c r="F165" s="3">
        <v>23</v>
      </c>
      <c r="G165" s="13" t="s">
        <v>289</v>
      </c>
      <c r="H165" s="1" t="s">
        <v>185</v>
      </c>
      <c r="I165" s="3" t="s">
        <v>133</v>
      </c>
      <c r="J165" s="3" t="s">
        <v>75</v>
      </c>
      <c r="K165" s="3" t="s">
        <v>75</v>
      </c>
      <c r="L165" s="23">
        <v>37</v>
      </c>
      <c r="M165" s="1" t="s">
        <v>285</v>
      </c>
      <c r="N165" s="1">
        <v>2009</v>
      </c>
      <c r="O165" s="13" t="s">
        <v>284</v>
      </c>
    </row>
    <row r="166" spans="1:15" x14ac:dyDescent="0.15">
      <c r="A166" s="24">
        <v>163</v>
      </c>
      <c r="B166" s="2" t="s">
        <v>180</v>
      </c>
      <c r="C166" s="8">
        <v>19.100000000000001</v>
      </c>
      <c r="D166" s="8">
        <f t="shared" si="3"/>
        <v>0.95500000000000007</v>
      </c>
      <c r="E166" s="12">
        <v>7</v>
      </c>
      <c r="F166" s="3">
        <v>23</v>
      </c>
      <c r="G166" s="13" t="s">
        <v>289</v>
      </c>
      <c r="H166" s="1" t="s">
        <v>185</v>
      </c>
      <c r="I166" s="3" t="s">
        <v>133</v>
      </c>
      <c r="J166" s="3" t="s">
        <v>75</v>
      </c>
      <c r="K166" s="3" t="s">
        <v>75</v>
      </c>
      <c r="L166" s="23">
        <v>37</v>
      </c>
      <c r="M166" s="1" t="s">
        <v>285</v>
      </c>
      <c r="N166" s="1">
        <v>2009</v>
      </c>
      <c r="O166" s="13" t="s">
        <v>284</v>
      </c>
    </row>
    <row r="167" spans="1:15" x14ac:dyDescent="0.15">
      <c r="A167" s="24">
        <v>164</v>
      </c>
      <c r="B167" s="2" t="s">
        <v>257</v>
      </c>
      <c r="C167" s="8">
        <v>25.2</v>
      </c>
      <c r="D167" s="8">
        <v>0.4</v>
      </c>
      <c r="E167" s="12">
        <v>7</v>
      </c>
      <c r="F167" s="3">
        <v>25</v>
      </c>
      <c r="G167" s="13" t="s">
        <v>112</v>
      </c>
      <c r="H167" s="1" t="s">
        <v>173</v>
      </c>
      <c r="I167" s="3" t="s">
        <v>133</v>
      </c>
      <c r="J167" s="3" t="s">
        <v>294</v>
      </c>
      <c r="K167" s="3" t="s">
        <v>288</v>
      </c>
      <c r="L167" s="23">
        <v>38</v>
      </c>
      <c r="M167" s="1" t="s">
        <v>292</v>
      </c>
      <c r="N167" s="1">
        <v>2010</v>
      </c>
      <c r="O167" s="13" t="s">
        <v>293</v>
      </c>
    </row>
    <row r="168" spans="1:15" x14ac:dyDescent="0.15">
      <c r="A168" s="24">
        <v>165</v>
      </c>
      <c r="B168" s="2" t="s">
        <v>261</v>
      </c>
      <c r="C168" s="5">
        <v>408</v>
      </c>
      <c r="D168" s="5"/>
      <c r="E168" s="12">
        <v>7.6</v>
      </c>
      <c r="F168" s="3">
        <v>22</v>
      </c>
      <c r="G168" s="13" t="s">
        <v>666</v>
      </c>
      <c r="H168" s="1" t="s">
        <v>298</v>
      </c>
      <c r="I168" s="3" t="s">
        <v>133</v>
      </c>
      <c r="J168" s="3" t="s">
        <v>75</v>
      </c>
      <c r="K168" s="3" t="s">
        <v>299</v>
      </c>
      <c r="L168" s="23">
        <v>39</v>
      </c>
      <c r="M168" s="1" t="s">
        <v>290</v>
      </c>
      <c r="N168" s="1">
        <v>2010</v>
      </c>
      <c r="O168" s="13" t="s">
        <v>291</v>
      </c>
    </row>
    <row r="169" spans="1:15" x14ac:dyDescent="0.15">
      <c r="A169" s="24">
        <v>166</v>
      </c>
      <c r="B169" s="2" t="s">
        <v>218</v>
      </c>
      <c r="C169" s="5">
        <v>470</v>
      </c>
      <c r="D169" s="5"/>
      <c r="E169" s="12">
        <v>7.6</v>
      </c>
      <c r="F169" s="3">
        <v>22</v>
      </c>
      <c r="G169" s="13" t="s">
        <v>666</v>
      </c>
      <c r="H169" s="1" t="s">
        <v>298</v>
      </c>
      <c r="I169" s="3" t="s">
        <v>133</v>
      </c>
      <c r="J169" s="3" t="s">
        <v>75</v>
      </c>
      <c r="K169" s="3" t="s">
        <v>300</v>
      </c>
      <c r="L169" s="23">
        <v>39</v>
      </c>
      <c r="M169" s="1" t="s">
        <v>290</v>
      </c>
      <c r="N169" s="1">
        <v>2010</v>
      </c>
      <c r="O169" s="13" t="s">
        <v>291</v>
      </c>
    </row>
    <row r="170" spans="1:15" x14ac:dyDescent="0.15">
      <c r="A170" s="24">
        <v>167</v>
      </c>
      <c r="B170" s="2" t="s">
        <v>295</v>
      </c>
      <c r="C170" s="5">
        <v>170</v>
      </c>
      <c r="D170" s="5"/>
      <c r="E170" s="12">
        <v>7.6</v>
      </c>
      <c r="F170" s="3">
        <v>22</v>
      </c>
      <c r="G170" s="13" t="s">
        <v>666</v>
      </c>
      <c r="H170" s="1" t="s">
        <v>298</v>
      </c>
      <c r="I170" s="3" t="s">
        <v>133</v>
      </c>
      <c r="J170" s="3" t="s">
        <v>75</v>
      </c>
      <c r="K170" s="3" t="s">
        <v>301</v>
      </c>
      <c r="L170" s="23">
        <v>39</v>
      </c>
      <c r="M170" s="1" t="s">
        <v>290</v>
      </c>
      <c r="N170" s="1">
        <v>2010</v>
      </c>
      <c r="O170" s="13" t="s">
        <v>291</v>
      </c>
    </row>
    <row r="171" spans="1:15" x14ac:dyDescent="0.15">
      <c r="A171" s="24">
        <v>168</v>
      </c>
      <c r="B171" s="2" t="s">
        <v>296</v>
      </c>
      <c r="C171" s="5">
        <v>246</v>
      </c>
      <c r="D171" s="5"/>
      <c r="E171" s="12">
        <v>7.6</v>
      </c>
      <c r="F171" s="3">
        <v>22</v>
      </c>
      <c r="G171" s="13" t="s">
        <v>666</v>
      </c>
      <c r="H171" s="1" t="s">
        <v>298</v>
      </c>
      <c r="I171" s="3" t="s">
        <v>133</v>
      </c>
      <c r="J171" s="3" t="s">
        <v>75</v>
      </c>
      <c r="K171" s="3" t="s">
        <v>302</v>
      </c>
      <c r="L171" s="23">
        <v>39</v>
      </c>
      <c r="M171" s="1" t="s">
        <v>290</v>
      </c>
      <c r="N171" s="1">
        <v>2010</v>
      </c>
      <c r="O171" s="13" t="s">
        <v>291</v>
      </c>
    </row>
    <row r="172" spans="1:15" x14ac:dyDescent="0.15">
      <c r="A172" s="24">
        <v>169</v>
      </c>
      <c r="B172" s="2" t="s">
        <v>297</v>
      </c>
      <c r="C172" s="5">
        <v>273</v>
      </c>
      <c r="D172" s="5"/>
      <c r="E172" s="12">
        <v>7.6</v>
      </c>
      <c r="F172" s="3">
        <v>22</v>
      </c>
      <c r="G172" s="13" t="s">
        <v>666</v>
      </c>
      <c r="H172" s="1" t="s">
        <v>298</v>
      </c>
      <c r="I172" s="3" t="s">
        <v>133</v>
      </c>
      <c r="J172" s="3" t="s">
        <v>75</v>
      </c>
      <c r="K172" s="3" t="s">
        <v>303</v>
      </c>
      <c r="L172" s="23">
        <v>39</v>
      </c>
      <c r="M172" s="1" t="s">
        <v>290</v>
      </c>
      <c r="N172" s="1">
        <v>2010</v>
      </c>
      <c r="O172" s="13" t="s">
        <v>291</v>
      </c>
    </row>
    <row r="173" spans="1:15" x14ac:dyDescent="0.15">
      <c r="A173" s="24">
        <v>170</v>
      </c>
      <c r="B173" s="2" t="s">
        <v>265</v>
      </c>
      <c r="C173" s="5">
        <v>396</v>
      </c>
      <c r="D173" s="5"/>
      <c r="E173" s="12">
        <v>7.6</v>
      </c>
      <c r="F173" s="3">
        <v>22</v>
      </c>
      <c r="G173" s="13" t="s">
        <v>666</v>
      </c>
      <c r="H173" s="1" t="s">
        <v>298</v>
      </c>
      <c r="I173" s="3" t="s">
        <v>133</v>
      </c>
      <c r="J173" s="3" t="s">
        <v>75</v>
      </c>
      <c r="K173" s="3" t="s">
        <v>304</v>
      </c>
      <c r="L173" s="23">
        <v>39</v>
      </c>
      <c r="M173" s="1" t="s">
        <v>290</v>
      </c>
      <c r="N173" s="1">
        <v>2010</v>
      </c>
      <c r="O173" s="13" t="s">
        <v>291</v>
      </c>
    </row>
    <row r="174" spans="1:15" x14ac:dyDescent="0.15">
      <c r="A174" s="24">
        <v>171</v>
      </c>
      <c r="B174" s="2" t="s">
        <v>307</v>
      </c>
      <c r="C174" s="5">
        <v>1436</v>
      </c>
      <c r="D174" s="5">
        <f>49.3/359*C174</f>
        <v>197.2</v>
      </c>
      <c r="E174" s="12">
        <v>7</v>
      </c>
      <c r="F174" s="3" t="s">
        <v>75</v>
      </c>
      <c r="G174" s="13" t="s">
        <v>112</v>
      </c>
      <c r="H174" s="1" t="s">
        <v>23</v>
      </c>
      <c r="I174" s="3" t="s">
        <v>24</v>
      </c>
      <c r="J174" s="3">
        <v>5</v>
      </c>
      <c r="K174" s="3">
        <v>2.5000000000000001E-4</v>
      </c>
      <c r="L174" s="23">
        <v>40</v>
      </c>
      <c r="M174" s="1" t="s">
        <v>306</v>
      </c>
      <c r="N174" s="1">
        <v>2010</v>
      </c>
      <c r="O174" s="13" t="s">
        <v>305</v>
      </c>
    </row>
    <row r="175" spans="1:15" x14ac:dyDescent="0.15">
      <c r="A175" s="24">
        <v>172</v>
      </c>
      <c r="B175" s="2" t="s">
        <v>308</v>
      </c>
      <c r="C175" s="5">
        <v>731.6</v>
      </c>
      <c r="D175" s="5">
        <f>15.5/182.9*C175</f>
        <v>62</v>
      </c>
      <c r="E175" s="12">
        <v>7</v>
      </c>
      <c r="F175" s="3" t="s">
        <v>75</v>
      </c>
      <c r="G175" s="13" t="s">
        <v>112</v>
      </c>
      <c r="H175" s="1" t="s">
        <v>23</v>
      </c>
      <c r="I175" s="3" t="s">
        <v>24</v>
      </c>
      <c r="J175" s="3">
        <v>5</v>
      </c>
      <c r="K175" s="3">
        <v>2.5000000000000001E-4</v>
      </c>
      <c r="L175" s="23">
        <v>40</v>
      </c>
      <c r="M175" s="1" t="s">
        <v>306</v>
      </c>
      <c r="N175" s="1">
        <v>2010</v>
      </c>
      <c r="O175" s="13" t="s">
        <v>305</v>
      </c>
    </row>
    <row r="176" spans="1:15" x14ac:dyDescent="0.15">
      <c r="A176" s="24">
        <v>173</v>
      </c>
      <c r="B176" s="2" t="s">
        <v>286</v>
      </c>
      <c r="C176" s="5">
        <v>317.48</v>
      </c>
      <c r="D176" s="5">
        <f>6.38/79.37*C176</f>
        <v>25.52</v>
      </c>
      <c r="E176" s="12">
        <v>7</v>
      </c>
      <c r="F176" s="3" t="s">
        <v>75</v>
      </c>
      <c r="G176" s="13" t="s">
        <v>112</v>
      </c>
      <c r="H176" s="1" t="s">
        <v>23</v>
      </c>
      <c r="I176" s="3" t="s">
        <v>24</v>
      </c>
      <c r="J176" s="3">
        <v>5</v>
      </c>
      <c r="K176" s="3">
        <v>2.5000000000000001E-4</v>
      </c>
      <c r="L176" s="23">
        <v>40</v>
      </c>
      <c r="M176" s="1" t="s">
        <v>306</v>
      </c>
      <c r="N176" s="1">
        <v>2010</v>
      </c>
      <c r="O176" s="13" t="s">
        <v>305</v>
      </c>
    </row>
    <row r="177" spans="1:15" x14ac:dyDescent="0.15">
      <c r="A177" s="24">
        <v>174</v>
      </c>
      <c r="B177" s="2" t="s">
        <v>282</v>
      </c>
      <c r="C177" s="5">
        <v>248.6</v>
      </c>
      <c r="D177" s="5">
        <f>1.48/62.15*C177</f>
        <v>5.92</v>
      </c>
      <c r="E177" s="12">
        <v>7</v>
      </c>
      <c r="F177" s="3" t="s">
        <v>75</v>
      </c>
      <c r="G177" s="13" t="s">
        <v>112</v>
      </c>
      <c r="H177" s="1" t="s">
        <v>23</v>
      </c>
      <c r="I177" s="3" t="s">
        <v>24</v>
      </c>
      <c r="J177" s="3">
        <v>5</v>
      </c>
      <c r="K177" s="3">
        <v>2.5000000000000001E-4</v>
      </c>
      <c r="L177" s="23">
        <v>40</v>
      </c>
      <c r="M177" s="1" t="s">
        <v>306</v>
      </c>
      <c r="N177" s="1">
        <v>2010</v>
      </c>
      <c r="O177" s="13" t="s">
        <v>305</v>
      </c>
    </row>
    <row r="178" spans="1:15" x14ac:dyDescent="0.15">
      <c r="A178" s="24">
        <v>175</v>
      </c>
      <c r="B178" s="2" t="s">
        <v>690</v>
      </c>
      <c r="C178" s="5">
        <v>128.91999999999999</v>
      </c>
      <c r="D178" s="5">
        <f>0.15/32.23*C178</f>
        <v>0.6</v>
      </c>
      <c r="E178" s="12">
        <v>7</v>
      </c>
      <c r="F178" s="3" t="s">
        <v>75</v>
      </c>
      <c r="G178" s="13" t="s">
        <v>112</v>
      </c>
      <c r="H178" s="1" t="s">
        <v>23</v>
      </c>
      <c r="I178" s="3" t="s">
        <v>24</v>
      </c>
      <c r="J178" s="3">
        <v>5</v>
      </c>
      <c r="K178" s="3">
        <v>2.5000000000000001E-4</v>
      </c>
      <c r="L178" s="23">
        <v>40</v>
      </c>
      <c r="M178" s="1" t="s">
        <v>306</v>
      </c>
      <c r="N178" s="1">
        <v>2010</v>
      </c>
      <c r="O178" s="13" t="s">
        <v>305</v>
      </c>
    </row>
    <row r="179" spans="1:15" x14ac:dyDescent="0.15">
      <c r="A179" s="24">
        <v>176</v>
      </c>
      <c r="B179" s="2" t="s">
        <v>309</v>
      </c>
      <c r="C179" s="5">
        <v>105.2</v>
      </c>
      <c r="D179" s="5">
        <f>1.67/26.3*C179</f>
        <v>6.6799999999999988</v>
      </c>
      <c r="E179" s="12">
        <v>7</v>
      </c>
      <c r="F179" s="3" t="s">
        <v>75</v>
      </c>
      <c r="G179" s="13" t="s">
        <v>112</v>
      </c>
      <c r="H179" s="1" t="s">
        <v>23</v>
      </c>
      <c r="I179" s="3" t="s">
        <v>24</v>
      </c>
      <c r="J179" s="3">
        <v>5</v>
      </c>
      <c r="K179" s="3">
        <v>2.5000000000000001E-4</v>
      </c>
      <c r="L179" s="23">
        <v>40</v>
      </c>
      <c r="M179" s="1" t="s">
        <v>306</v>
      </c>
      <c r="N179" s="1">
        <v>2010</v>
      </c>
      <c r="O179" s="13" t="s">
        <v>305</v>
      </c>
    </row>
    <row r="180" spans="1:15" x14ac:dyDescent="0.15">
      <c r="A180" s="24">
        <v>177</v>
      </c>
      <c r="B180" s="2" t="s">
        <v>310</v>
      </c>
      <c r="C180" s="8">
        <v>69.72</v>
      </c>
      <c r="D180" s="8">
        <f>4.29/17.43*C180</f>
        <v>17.16</v>
      </c>
      <c r="E180" s="12">
        <v>7</v>
      </c>
      <c r="F180" s="3" t="s">
        <v>75</v>
      </c>
      <c r="G180" s="13" t="s">
        <v>112</v>
      </c>
      <c r="H180" s="1" t="s">
        <v>23</v>
      </c>
      <c r="I180" s="3" t="s">
        <v>24</v>
      </c>
      <c r="J180" s="3">
        <v>5</v>
      </c>
      <c r="K180" s="3">
        <v>2.5000000000000001E-4</v>
      </c>
      <c r="L180" s="23">
        <v>40</v>
      </c>
      <c r="M180" s="1" t="s">
        <v>306</v>
      </c>
      <c r="N180" s="1">
        <v>2010</v>
      </c>
      <c r="O180" s="13" t="s">
        <v>305</v>
      </c>
    </row>
    <row r="181" spans="1:15" x14ac:dyDescent="0.15">
      <c r="A181" s="24">
        <v>178</v>
      </c>
      <c r="B181" s="2" t="s">
        <v>311</v>
      </c>
      <c r="C181" s="8">
        <v>58</v>
      </c>
      <c r="D181" s="8">
        <f>0.77/14.5*C181</f>
        <v>3.08</v>
      </c>
      <c r="E181" s="12">
        <v>7</v>
      </c>
      <c r="F181" s="3" t="s">
        <v>75</v>
      </c>
      <c r="G181" s="13" t="s">
        <v>112</v>
      </c>
      <c r="H181" s="1" t="s">
        <v>23</v>
      </c>
      <c r="I181" s="3" t="s">
        <v>24</v>
      </c>
      <c r="J181" s="3">
        <v>5</v>
      </c>
      <c r="K181" s="3">
        <v>2.5000000000000001E-4</v>
      </c>
      <c r="L181" s="23">
        <v>40</v>
      </c>
      <c r="M181" s="1" t="s">
        <v>306</v>
      </c>
      <c r="N181" s="1">
        <v>2010</v>
      </c>
      <c r="O181" s="13" t="s">
        <v>305</v>
      </c>
    </row>
    <row r="182" spans="1:15" x14ac:dyDescent="0.15">
      <c r="A182" s="24">
        <v>179</v>
      </c>
      <c r="B182" s="2" t="s">
        <v>312</v>
      </c>
      <c r="C182" s="8">
        <v>53.6</v>
      </c>
      <c r="D182" s="8">
        <f>4.47/13.4*C182</f>
        <v>17.88</v>
      </c>
      <c r="E182" s="12">
        <v>7</v>
      </c>
      <c r="F182" s="3" t="s">
        <v>75</v>
      </c>
      <c r="G182" s="13" t="s">
        <v>112</v>
      </c>
      <c r="H182" s="1" t="s">
        <v>23</v>
      </c>
      <c r="I182" s="3" t="s">
        <v>24</v>
      </c>
      <c r="J182" s="3">
        <v>5</v>
      </c>
      <c r="K182" s="3">
        <v>2.5000000000000001E-4</v>
      </c>
      <c r="L182" s="23">
        <v>40</v>
      </c>
      <c r="M182" s="1" t="s">
        <v>306</v>
      </c>
      <c r="N182" s="1">
        <v>2010</v>
      </c>
      <c r="O182" s="13" t="s">
        <v>305</v>
      </c>
    </row>
    <row r="183" spans="1:15" x14ac:dyDescent="0.15">
      <c r="A183" s="24">
        <v>180</v>
      </c>
      <c r="B183" s="2" t="s">
        <v>313</v>
      </c>
      <c r="C183" s="8">
        <v>46.8</v>
      </c>
      <c r="D183" s="8">
        <f>1.44/11.7*C183</f>
        <v>5.76</v>
      </c>
      <c r="E183" s="12">
        <v>7</v>
      </c>
      <c r="F183" s="3" t="s">
        <v>75</v>
      </c>
      <c r="G183" s="13" t="s">
        <v>112</v>
      </c>
      <c r="H183" s="1" t="s">
        <v>23</v>
      </c>
      <c r="I183" s="3" t="s">
        <v>24</v>
      </c>
      <c r="J183" s="3">
        <v>5</v>
      </c>
      <c r="K183" s="3">
        <v>2.5000000000000001E-4</v>
      </c>
      <c r="L183" s="23">
        <v>40</v>
      </c>
      <c r="M183" s="1" t="s">
        <v>306</v>
      </c>
      <c r="N183" s="1">
        <v>2010</v>
      </c>
      <c r="O183" s="13" t="s">
        <v>305</v>
      </c>
    </row>
    <row r="184" spans="1:15" x14ac:dyDescent="0.15">
      <c r="A184" s="24">
        <v>181</v>
      </c>
      <c r="B184" s="2" t="s">
        <v>314</v>
      </c>
      <c r="C184" s="8">
        <v>44.4</v>
      </c>
      <c r="D184" s="8">
        <f>4.62/11.1*C184</f>
        <v>18.48</v>
      </c>
      <c r="E184" s="12">
        <v>7</v>
      </c>
      <c r="F184" s="3" t="s">
        <v>75</v>
      </c>
      <c r="G184" s="13" t="s">
        <v>112</v>
      </c>
      <c r="H184" s="1" t="s">
        <v>23</v>
      </c>
      <c r="I184" s="3" t="s">
        <v>24</v>
      </c>
      <c r="J184" s="3">
        <v>5</v>
      </c>
      <c r="K184" s="3">
        <v>2.5000000000000001E-4</v>
      </c>
      <c r="L184" s="23">
        <v>40</v>
      </c>
      <c r="M184" s="1" t="s">
        <v>306</v>
      </c>
      <c r="N184" s="1">
        <v>2010</v>
      </c>
      <c r="O184" s="13" t="s">
        <v>305</v>
      </c>
    </row>
    <row r="185" spans="1:15" x14ac:dyDescent="0.15">
      <c r="A185" s="24">
        <v>182</v>
      </c>
      <c r="B185" s="2" t="s">
        <v>315</v>
      </c>
      <c r="C185" s="8">
        <v>30.92</v>
      </c>
      <c r="D185" s="8">
        <f>0.12/7.73*C185</f>
        <v>0.48</v>
      </c>
      <c r="E185" s="12">
        <v>7</v>
      </c>
      <c r="F185" s="3" t="s">
        <v>75</v>
      </c>
      <c r="G185" s="13" t="s">
        <v>112</v>
      </c>
      <c r="H185" s="1" t="s">
        <v>23</v>
      </c>
      <c r="I185" s="3" t="s">
        <v>24</v>
      </c>
      <c r="J185" s="3">
        <v>5</v>
      </c>
      <c r="K185" s="3">
        <v>2.5000000000000001E-4</v>
      </c>
      <c r="L185" s="23">
        <v>40</v>
      </c>
      <c r="M185" s="1" t="s">
        <v>306</v>
      </c>
      <c r="N185" s="1">
        <v>2010</v>
      </c>
      <c r="O185" s="13" t="s">
        <v>305</v>
      </c>
    </row>
    <row r="186" spans="1:15" x14ac:dyDescent="0.15">
      <c r="A186" s="24">
        <v>183</v>
      </c>
      <c r="B186" s="2" t="s">
        <v>316</v>
      </c>
      <c r="C186" s="8">
        <v>28.52</v>
      </c>
      <c r="D186" s="8">
        <f>0.06/7.13*C186</f>
        <v>0.24</v>
      </c>
      <c r="E186" s="12">
        <v>7</v>
      </c>
      <c r="F186" s="3" t="s">
        <v>75</v>
      </c>
      <c r="G186" s="13" t="s">
        <v>112</v>
      </c>
      <c r="H186" s="1" t="s">
        <v>23</v>
      </c>
      <c r="I186" s="3" t="s">
        <v>24</v>
      </c>
      <c r="J186" s="3">
        <v>5</v>
      </c>
      <c r="K186" s="3">
        <v>2.5000000000000001E-4</v>
      </c>
      <c r="L186" s="23">
        <v>40</v>
      </c>
      <c r="M186" s="1" t="s">
        <v>306</v>
      </c>
      <c r="N186" s="1">
        <v>2010</v>
      </c>
      <c r="O186" s="13" t="s">
        <v>305</v>
      </c>
    </row>
    <row r="187" spans="1:15" x14ac:dyDescent="0.15">
      <c r="A187" s="24">
        <v>184</v>
      </c>
      <c r="B187" s="2" t="s">
        <v>317</v>
      </c>
      <c r="C187" s="6">
        <v>4.4000000000000004</v>
      </c>
      <c r="D187" s="6">
        <f>0.09/1.1*C187</f>
        <v>0.36</v>
      </c>
      <c r="E187" s="12">
        <v>7</v>
      </c>
      <c r="F187" s="3" t="s">
        <v>75</v>
      </c>
      <c r="G187" s="13" t="s">
        <v>112</v>
      </c>
      <c r="H187" s="1" t="s">
        <v>23</v>
      </c>
      <c r="I187" s="3" t="s">
        <v>24</v>
      </c>
      <c r="J187" s="3">
        <v>5</v>
      </c>
      <c r="K187" s="3">
        <v>2.5000000000000001E-4</v>
      </c>
      <c r="L187" s="23">
        <v>40</v>
      </c>
      <c r="M187" s="1" t="s">
        <v>306</v>
      </c>
      <c r="N187" s="1">
        <v>2010</v>
      </c>
      <c r="O187" s="13" t="s">
        <v>305</v>
      </c>
    </row>
    <row r="188" spans="1:15" x14ac:dyDescent="0.15">
      <c r="A188" s="24">
        <v>185</v>
      </c>
      <c r="B188" s="2" t="s">
        <v>317</v>
      </c>
      <c r="C188" s="6">
        <v>2.12</v>
      </c>
      <c r="D188" s="6">
        <f>0.06/0.53*C188</f>
        <v>0.24</v>
      </c>
      <c r="E188" s="12">
        <v>7</v>
      </c>
      <c r="F188" s="3" t="s">
        <v>75</v>
      </c>
      <c r="G188" s="13" t="s">
        <v>112</v>
      </c>
      <c r="H188" s="1" t="s">
        <v>23</v>
      </c>
      <c r="I188" s="3" t="s">
        <v>24</v>
      </c>
      <c r="J188" s="3">
        <v>5</v>
      </c>
      <c r="K188" s="3">
        <v>2.5000000000000001E-4</v>
      </c>
      <c r="L188" s="23">
        <v>40</v>
      </c>
      <c r="M188" s="1" t="s">
        <v>306</v>
      </c>
      <c r="N188" s="1">
        <v>2010</v>
      </c>
      <c r="O188" s="13" t="s">
        <v>305</v>
      </c>
    </row>
    <row r="189" spans="1:15" x14ac:dyDescent="0.15">
      <c r="A189" s="24">
        <v>186</v>
      </c>
      <c r="B189" s="2" t="s">
        <v>318</v>
      </c>
      <c r="C189" s="6">
        <v>2.64</v>
      </c>
      <c r="D189" s="6">
        <f>0.09/0.66*C189</f>
        <v>0.36</v>
      </c>
      <c r="E189" s="12">
        <v>7</v>
      </c>
      <c r="F189" s="3" t="s">
        <v>75</v>
      </c>
      <c r="G189" s="13" t="s">
        <v>112</v>
      </c>
      <c r="H189" s="1" t="s">
        <v>23</v>
      </c>
      <c r="I189" s="3" t="s">
        <v>24</v>
      </c>
      <c r="J189" s="3">
        <v>5</v>
      </c>
      <c r="K189" s="3">
        <v>2.5000000000000001E-4</v>
      </c>
      <c r="L189" s="23">
        <v>40</v>
      </c>
      <c r="M189" s="1" t="s">
        <v>306</v>
      </c>
      <c r="N189" s="1">
        <v>2010</v>
      </c>
      <c r="O189" s="13" t="s">
        <v>305</v>
      </c>
    </row>
    <row r="190" spans="1:15" x14ac:dyDescent="0.15">
      <c r="A190" s="24">
        <v>187</v>
      </c>
      <c r="B190" s="2" t="s">
        <v>319</v>
      </c>
      <c r="C190" s="6">
        <v>2.6</v>
      </c>
      <c r="D190" s="6">
        <f>0.03/0.65*C190</f>
        <v>0.12</v>
      </c>
      <c r="E190" s="12">
        <v>7</v>
      </c>
      <c r="F190" s="3" t="s">
        <v>75</v>
      </c>
      <c r="G190" s="13" t="s">
        <v>112</v>
      </c>
      <c r="H190" s="1" t="s">
        <v>23</v>
      </c>
      <c r="I190" s="3" t="s">
        <v>24</v>
      </c>
      <c r="J190" s="3">
        <v>5</v>
      </c>
      <c r="K190" s="3">
        <v>2.5000000000000001E-4</v>
      </c>
      <c r="L190" s="23">
        <v>40</v>
      </c>
      <c r="M190" s="1" t="s">
        <v>306</v>
      </c>
      <c r="N190" s="1">
        <v>2010</v>
      </c>
      <c r="O190" s="13" t="s">
        <v>305</v>
      </c>
    </row>
    <row r="191" spans="1:15" x14ac:dyDescent="0.15">
      <c r="A191" s="24">
        <v>188</v>
      </c>
      <c r="B191" s="2" t="s">
        <v>320</v>
      </c>
      <c r="C191" s="6">
        <v>2.4</v>
      </c>
      <c r="D191" s="6">
        <f>0.04/0.6*C191</f>
        <v>0.16</v>
      </c>
      <c r="E191" s="12">
        <v>7</v>
      </c>
      <c r="F191" s="3" t="s">
        <v>75</v>
      </c>
      <c r="G191" s="13" t="s">
        <v>112</v>
      </c>
      <c r="H191" s="1" t="s">
        <v>23</v>
      </c>
      <c r="I191" s="3" t="s">
        <v>24</v>
      </c>
      <c r="J191" s="3">
        <v>5</v>
      </c>
      <c r="K191" s="3">
        <v>2.5000000000000001E-4</v>
      </c>
      <c r="L191" s="23">
        <v>40</v>
      </c>
      <c r="M191" s="1" t="s">
        <v>306</v>
      </c>
      <c r="N191" s="1">
        <v>2010</v>
      </c>
      <c r="O191" s="13" t="s">
        <v>305</v>
      </c>
    </row>
    <row r="192" spans="1:15" x14ac:dyDescent="0.15">
      <c r="A192" s="24">
        <v>189</v>
      </c>
      <c r="B192" s="2" t="s">
        <v>321</v>
      </c>
      <c r="C192" s="6">
        <v>2.04</v>
      </c>
      <c r="D192" s="6">
        <f>0.03/0.51*C192</f>
        <v>0.12</v>
      </c>
      <c r="E192" s="12">
        <v>7</v>
      </c>
      <c r="F192" s="3" t="s">
        <v>75</v>
      </c>
      <c r="G192" s="13" t="s">
        <v>112</v>
      </c>
      <c r="H192" s="1" t="s">
        <v>23</v>
      </c>
      <c r="I192" s="3" t="s">
        <v>24</v>
      </c>
      <c r="J192" s="3">
        <v>5</v>
      </c>
      <c r="K192" s="3">
        <v>2.5000000000000001E-4</v>
      </c>
      <c r="L192" s="23">
        <v>40</v>
      </c>
      <c r="M192" s="1" t="s">
        <v>306</v>
      </c>
      <c r="N192" s="1">
        <v>2010</v>
      </c>
      <c r="O192" s="13" t="s">
        <v>305</v>
      </c>
    </row>
    <row r="193" spans="1:15" x14ac:dyDescent="0.15">
      <c r="A193" s="24">
        <v>190</v>
      </c>
      <c r="B193" s="2" t="s">
        <v>322</v>
      </c>
      <c r="C193" s="6">
        <v>1.88</v>
      </c>
      <c r="D193" s="6">
        <f>0.15/0.47*C193</f>
        <v>0.6</v>
      </c>
      <c r="E193" s="12">
        <v>7</v>
      </c>
      <c r="F193" s="3" t="s">
        <v>75</v>
      </c>
      <c r="G193" s="13" t="s">
        <v>112</v>
      </c>
      <c r="H193" s="1" t="s">
        <v>23</v>
      </c>
      <c r="I193" s="3" t="s">
        <v>24</v>
      </c>
      <c r="J193" s="3">
        <v>5</v>
      </c>
      <c r="K193" s="3">
        <v>2.5000000000000001E-4</v>
      </c>
      <c r="L193" s="23">
        <v>40</v>
      </c>
      <c r="M193" s="1" t="s">
        <v>306</v>
      </c>
      <c r="N193" s="1">
        <v>2010</v>
      </c>
      <c r="O193" s="13" t="s">
        <v>305</v>
      </c>
    </row>
    <row r="194" spans="1:15" x14ac:dyDescent="0.15">
      <c r="A194" s="24">
        <v>191</v>
      </c>
      <c r="B194" s="2" t="s">
        <v>323</v>
      </c>
      <c r="C194" s="6">
        <v>1.48</v>
      </c>
      <c r="D194" s="6">
        <f>0.01/0.37*C194</f>
        <v>0.04</v>
      </c>
      <c r="E194" s="12">
        <v>7</v>
      </c>
      <c r="F194" s="3" t="s">
        <v>75</v>
      </c>
      <c r="G194" s="13" t="s">
        <v>112</v>
      </c>
      <c r="H194" s="1" t="s">
        <v>23</v>
      </c>
      <c r="I194" s="3" t="s">
        <v>24</v>
      </c>
      <c r="J194" s="3">
        <v>5</v>
      </c>
      <c r="K194" s="3">
        <v>2.5000000000000001E-4</v>
      </c>
      <c r="L194" s="23">
        <v>40</v>
      </c>
      <c r="M194" s="1" t="s">
        <v>306</v>
      </c>
      <c r="N194" s="1">
        <v>2010</v>
      </c>
      <c r="O194" s="13" t="s">
        <v>305</v>
      </c>
    </row>
    <row r="195" spans="1:15" x14ac:dyDescent="0.15">
      <c r="A195" s="24">
        <v>192</v>
      </c>
      <c r="B195" s="2" t="s">
        <v>324</v>
      </c>
      <c r="C195" s="6">
        <v>1.36</v>
      </c>
      <c r="D195" s="6">
        <f>0.07/0.34*C195</f>
        <v>0.28000000000000003</v>
      </c>
      <c r="E195" s="12">
        <v>7</v>
      </c>
      <c r="F195" s="3" t="s">
        <v>75</v>
      </c>
      <c r="G195" s="13" t="s">
        <v>112</v>
      </c>
      <c r="H195" s="1" t="s">
        <v>23</v>
      </c>
      <c r="I195" s="3" t="s">
        <v>24</v>
      </c>
      <c r="J195" s="3">
        <v>5</v>
      </c>
      <c r="K195" s="3">
        <v>2.5000000000000001E-4</v>
      </c>
      <c r="L195" s="23">
        <v>40</v>
      </c>
      <c r="M195" s="1" t="s">
        <v>306</v>
      </c>
      <c r="N195" s="1">
        <v>2010</v>
      </c>
      <c r="O195" s="13" t="s">
        <v>305</v>
      </c>
    </row>
    <row r="196" spans="1:15" x14ac:dyDescent="0.15">
      <c r="A196" s="24">
        <v>193</v>
      </c>
      <c r="B196" s="2" t="s">
        <v>325</v>
      </c>
      <c r="C196" s="6">
        <v>1.2</v>
      </c>
      <c r="D196" s="6">
        <f>0.05/0.3*C196</f>
        <v>0.2</v>
      </c>
      <c r="E196" s="12">
        <v>7</v>
      </c>
      <c r="F196" s="3" t="s">
        <v>75</v>
      </c>
      <c r="G196" s="13" t="s">
        <v>112</v>
      </c>
      <c r="H196" s="1" t="s">
        <v>23</v>
      </c>
      <c r="I196" s="3" t="s">
        <v>24</v>
      </c>
      <c r="J196" s="3">
        <v>5</v>
      </c>
      <c r="K196" s="3">
        <v>2.5000000000000001E-4</v>
      </c>
      <c r="L196" s="23">
        <v>40</v>
      </c>
      <c r="M196" s="1" t="s">
        <v>306</v>
      </c>
      <c r="N196" s="1">
        <v>2010</v>
      </c>
      <c r="O196" s="13" t="s">
        <v>305</v>
      </c>
    </row>
    <row r="197" spans="1:15" x14ac:dyDescent="0.15">
      <c r="A197" s="24">
        <v>194</v>
      </c>
      <c r="B197" s="2" t="s">
        <v>326</v>
      </c>
      <c r="C197" s="6">
        <v>1.1599999999999999</v>
      </c>
      <c r="D197" s="6">
        <f>0.05/0.29*C197</f>
        <v>0.2</v>
      </c>
      <c r="E197" s="12">
        <v>7</v>
      </c>
      <c r="F197" s="3" t="s">
        <v>75</v>
      </c>
      <c r="G197" s="13" t="s">
        <v>112</v>
      </c>
      <c r="H197" s="1" t="s">
        <v>23</v>
      </c>
      <c r="I197" s="3" t="s">
        <v>24</v>
      </c>
      <c r="J197" s="3">
        <v>5</v>
      </c>
      <c r="K197" s="3">
        <v>2.5000000000000001E-4</v>
      </c>
      <c r="L197" s="23">
        <v>40</v>
      </c>
      <c r="M197" s="1" t="s">
        <v>306</v>
      </c>
      <c r="N197" s="1">
        <v>2010</v>
      </c>
      <c r="O197" s="13" t="s">
        <v>305</v>
      </c>
    </row>
    <row r="198" spans="1:15" x14ac:dyDescent="0.15">
      <c r="A198" s="24">
        <v>195</v>
      </c>
      <c r="B198" s="2" t="s">
        <v>327</v>
      </c>
      <c r="C198" s="6">
        <v>0.88</v>
      </c>
      <c r="D198" s="6">
        <f>0.02/0.22*C198</f>
        <v>0.08</v>
      </c>
      <c r="E198" s="12">
        <v>7</v>
      </c>
      <c r="F198" s="3" t="s">
        <v>75</v>
      </c>
      <c r="G198" s="13" t="s">
        <v>112</v>
      </c>
      <c r="H198" s="1" t="s">
        <v>23</v>
      </c>
      <c r="I198" s="3" t="s">
        <v>24</v>
      </c>
      <c r="J198" s="3">
        <v>5</v>
      </c>
      <c r="K198" s="3">
        <v>2.5000000000000001E-4</v>
      </c>
      <c r="L198" s="23">
        <v>40</v>
      </c>
      <c r="M198" s="1" t="s">
        <v>306</v>
      </c>
      <c r="N198" s="1">
        <v>2010</v>
      </c>
      <c r="O198" s="13" t="s">
        <v>305</v>
      </c>
    </row>
    <row r="199" spans="1:15" x14ac:dyDescent="0.15">
      <c r="A199" s="24">
        <v>196</v>
      </c>
      <c r="B199" s="2" t="s">
        <v>328</v>
      </c>
      <c r="C199" s="6">
        <v>0.84</v>
      </c>
      <c r="D199" s="6">
        <f>0.05/0.21*C199</f>
        <v>0.2</v>
      </c>
      <c r="E199" s="12">
        <v>7</v>
      </c>
      <c r="F199" s="3" t="s">
        <v>75</v>
      </c>
      <c r="G199" s="13" t="s">
        <v>112</v>
      </c>
      <c r="H199" s="1" t="s">
        <v>23</v>
      </c>
      <c r="I199" s="3" t="s">
        <v>24</v>
      </c>
      <c r="J199" s="3">
        <v>5</v>
      </c>
      <c r="K199" s="3">
        <v>2.5000000000000001E-4</v>
      </c>
      <c r="L199" s="23">
        <v>40</v>
      </c>
      <c r="M199" s="1" t="s">
        <v>306</v>
      </c>
      <c r="N199" s="1">
        <v>2010</v>
      </c>
      <c r="O199" s="13" t="s">
        <v>305</v>
      </c>
    </row>
    <row r="200" spans="1:15" x14ac:dyDescent="0.15">
      <c r="A200" s="24">
        <v>197</v>
      </c>
      <c r="B200" s="2" t="s">
        <v>329</v>
      </c>
      <c r="C200" s="6">
        <v>0.84</v>
      </c>
      <c r="D200" s="6">
        <f>0.02/0.21*C200</f>
        <v>0.08</v>
      </c>
      <c r="E200" s="12">
        <v>7</v>
      </c>
      <c r="F200" s="3" t="s">
        <v>75</v>
      </c>
      <c r="G200" s="13" t="s">
        <v>112</v>
      </c>
      <c r="H200" s="1" t="s">
        <v>23</v>
      </c>
      <c r="I200" s="3" t="s">
        <v>24</v>
      </c>
      <c r="J200" s="3">
        <v>5</v>
      </c>
      <c r="K200" s="3">
        <v>2.5000000000000001E-4</v>
      </c>
      <c r="L200" s="23">
        <v>40</v>
      </c>
      <c r="M200" s="1" t="s">
        <v>306</v>
      </c>
      <c r="N200" s="1">
        <v>2010</v>
      </c>
      <c r="O200" s="13" t="s">
        <v>305</v>
      </c>
    </row>
    <row r="201" spans="1:15" x14ac:dyDescent="0.15">
      <c r="A201" s="24">
        <v>198</v>
      </c>
      <c r="B201" s="2" t="s">
        <v>330</v>
      </c>
      <c r="C201" s="6">
        <v>0.84</v>
      </c>
      <c r="D201" s="6">
        <f>0.01/0.21*C201</f>
        <v>0.04</v>
      </c>
      <c r="E201" s="12">
        <v>7</v>
      </c>
      <c r="F201" s="3" t="s">
        <v>75</v>
      </c>
      <c r="G201" s="13" t="s">
        <v>112</v>
      </c>
      <c r="H201" s="1" t="s">
        <v>23</v>
      </c>
      <c r="I201" s="3" t="s">
        <v>24</v>
      </c>
      <c r="J201" s="3">
        <v>5</v>
      </c>
      <c r="K201" s="3">
        <v>2.5000000000000001E-4</v>
      </c>
      <c r="L201" s="23">
        <v>40</v>
      </c>
      <c r="M201" s="1" t="s">
        <v>306</v>
      </c>
      <c r="N201" s="1">
        <v>2010</v>
      </c>
      <c r="O201" s="13" t="s">
        <v>305</v>
      </c>
    </row>
    <row r="202" spans="1:15" x14ac:dyDescent="0.15">
      <c r="A202" s="24">
        <v>199</v>
      </c>
      <c r="B202" s="2" t="s">
        <v>331</v>
      </c>
      <c r="C202" s="6">
        <v>0.8</v>
      </c>
      <c r="D202" s="6">
        <f>0.03/0.2*C202</f>
        <v>0.12</v>
      </c>
      <c r="E202" s="12">
        <v>7</v>
      </c>
      <c r="F202" s="3" t="s">
        <v>75</v>
      </c>
      <c r="G202" s="13" t="s">
        <v>112</v>
      </c>
      <c r="H202" s="1" t="s">
        <v>23</v>
      </c>
      <c r="I202" s="3" t="s">
        <v>24</v>
      </c>
      <c r="J202" s="3">
        <v>5</v>
      </c>
      <c r="K202" s="3">
        <v>2.5000000000000001E-4</v>
      </c>
      <c r="L202" s="23">
        <v>40</v>
      </c>
      <c r="M202" s="1" t="s">
        <v>306</v>
      </c>
      <c r="N202" s="1">
        <v>2010</v>
      </c>
      <c r="O202" s="13" t="s">
        <v>305</v>
      </c>
    </row>
    <row r="203" spans="1:15" x14ac:dyDescent="0.15">
      <c r="A203" s="24">
        <v>200</v>
      </c>
      <c r="B203" s="2" t="s">
        <v>332</v>
      </c>
      <c r="C203" s="6">
        <v>0.8</v>
      </c>
      <c r="D203" s="6">
        <f>0.15/0.2*C203</f>
        <v>0.6</v>
      </c>
      <c r="E203" s="12">
        <v>7</v>
      </c>
      <c r="F203" s="3" t="s">
        <v>75</v>
      </c>
      <c r="G203" s="13" t="s">
        <v>112</v>
      </c>
      <c r="H203" s="1" t="s">
        <v>23</v>
      </c>
      <c r="I203" s="3" t="s">
        <v>24</v>
      </c>
      <c r="J203" s="3">
        <v>5</v>
      </c>
      <c r="K203" s="3">
        <v>2.5000000000000001E-4</v>
      </c>
      <c r="L203" s="23">
        <v>40</v>
      </c>
      <c r="M203" s="1" t="s">
        <v>306</v>
      </c>
      <c r="N203" s="1">
        <v>2010</v>
      </c>
      <c r="O203" s="13" t="s">
        <v>305</v>
      </c>
    </row>
    <row r="204" spans="1:15" x14ac:dyDescent="0.15">
      <c r="A204" s="24">
        <v>201</v>
      </c>
      <c r="B204" s="2" t="s">
        <v>333</v>
      </c>
      <c r="C204" s="6">
        <v>0.8</v>
      </c>
      <c r="D204" s="6">
        <f>0.02/0.2*C204</f>
        <v>0.08</v>
      </c>
      <c r="E204" s="12">
        <v>7</v>
      </c>
      <c r="F204" s="3" t="s">
        <v>75</v>
      </c>
      <c r="G204" s="13" t="s">
        <v>112</v>
      </c>
      <c r="H204" s="1" t="s">
        <v>23</v>
      </c>
      <c r="I204" s="3" t="s">
        <v>24</v>
      </c>
      <c r="J204" s="3">
        <v>5</v>
      </c>
      <c r="K204" s="3">
        <v>2.5000000000000001E-4</v>
      </c>
      <c r="L204" s="23">
        <v>40</v>
      </c>
      <c r="M204" s="1" t="s">
        <v>306</v>
      </c>
      <c r="N204" s="1">
        <v>2010</v>
      </c>
      <c r="O204" s="13" t="s">
        <v>305</v>
      </c>
    </row>
    <row r="205" spans="1:15" x14ac:dyDescent="0.15">
      <c r="A205" s="24">
        <v>202</v>
      </c>
      <c r="B205" s="2" t="s">
        <v>334</v>
      </c>
      <c r="C205" s="6">
        <v>0.6</v>
      </c>
      <c r="D205" s="6">
        <f>0.02/0.15*C205</f>
        <v>0.08</v>
      </c>
      <c r="E205" s="12">
        <v>7</v>
      </c>
      <c r="F205" s="3" t="s">
        <v>75</v>
      </c>
      <c r="G205" s="13" t="s">
        <v>112</v>
      </c>
      <c r="H205" s="1" t="s">
        <v>23</v>
      </c>
      <c r="I205" s="3" t="s">
        <v>24</v>
      </c>
      <c r="J205" s="3">
        <v>5</v>
      </c>
      <c r="K205" s="3">
        <v>2.5000000000000001E-4</v>
      </c>
      <c r="L205" s="23">
        <v>40</v>
      </c>
      <c r="M205" s="1" t="s">
        <v>306</v>
      </c>
      <c r="N205" s="1">
        <v>2010</v>
      </c>
      <c r="O205" s="13" t="s">
        <v>305</v>
      </c>
    </row>
    <row r="206" spans="1:15" x14ac:dyDescent="0.15">
      <c r="A206" s="24">
        <v>203</v>
      </c>
      <c r="B206" s="2" t="s">
        <v>335</v>
      </c>
      <c r="C206" s="6">
        <v>0.48</v>
      </c>
      <c r="D206" s="6">
        <v>0</v>
      </c>
      <c r="E206" s="12">
        <v>7</v>
      </c>
      <c r="F206" s="3" t="s">
        <v>75</v>
      </c>
      <c r="G206" s="13" t="s">
        <v>112</v>
      </c>
      <c r="H206" s="1" t="s">
        <v>23</v>
      </c>
      <c r="I206" s="3" t="s">
        <v>24</v>
      </c>
      <c r="J206" s="3">
        <v>5</v>
      </c>
      <c r="K206" s="3">
        <v>2.5000000000000001E-4</v>
      </c>
      <c r="L206" s="23">
        <v>40</v>
      </c>
      <c r="M206" s="1" t="s">
        <v>306</v>
      </c>
      <c r="N206" s="1">
        <v>2010</v>
      </c>
      <c r="O206" s="13" t="s">
        <v>305</v>
      </c>
    </row>
    <row r="207" spans="1:15" x14ac:dyDescent="0.15">
      <c r="A207" s="24">
        <v>204</v>
      </c>
      <c r="B207" s="2" t="s">
        <v>336</v>
      </c>
      <c r="C207" s="6">
        <v>0.4</v>
      </c>
      <c r="D207" s="6">
        <f>0.02/0.1*C207</f>
        <v>0.08</v>
      </c>
      <c r="E207" s="12">
        <v>7</v>
      </c>
      <c r="F207" s="3" t="s">
        <v>75</v>
      </c>
      <c r="G207" s="13" t="s">
        <v>112</v>
      </c>
      <c r="H207" s="1" t="s">
        <v>23</v>
      </c>
      <c r="I207" s="3" t="s">
        <v>24</v>
      </c>
      <c r="J207" s="3">
        <v>5</v>
      </c>
      <c r="K207" s="3">
        <v>2.5000000000000001E-4</v>
      </c>
      <c r="L207" s="23">
        <v>40</v>
      </c>
      <c r="M207" s="1" t="s">
        <v>306</v>
      </c>
      <c r="N207" s="1">
        <v>2010</v>
      </c>
      <c r="O207" s="13" t="s">
        <v>305</v>
      </c>
    </row>
    <row r="208" spans="1:15" x14ac:dyDescent="0.15">
      <c r="A208" s="24">
        <v>205</v>
      </c>
      <c r="B208" s="2" t="s">
        <v>337</v>
      </c>
      <c r="C208" s="7">
        <v>0.05</v>
      </c>
      <c r="D208" s="7">
        <f>1.88/1.21*C208</f>
        <v>7.768595041322314E-2</v>
      </c>
      <c r="E208" s="12">
        <v>7</v>
      </c>
      <c r="F208" s="3" t="s">
        <v>75</v>
      </c>
      <c r="G208" s="13" t="s">
        <v>112</v>
      </c>
      <c r="H208" s="1" t="s">
        <v>23</v>
      </c>
      <c r="I208" s="3" t="s">
        <v>24</v>
      </c>
      <c r="J208" s="3">
        <v>5</v>
      </c>
      <c r="K208" s="3">
        <v>2.5000000000000001E-4</v>
      </c>
      <c r="L208" s="23">
        <v>40</v>
      </c>
      <c r="M208" s="1" t="s">
        <v>306</v>
      </c>
      <c r="N208" s="1">
        <v>2010</v>
      </c>
      <c r="O208" s="13" t="s">
        <v>305</v>
      </c>
    </row>
    <row r="209" spans="1:15" x14ac:dyDescent="0.15">
      <c r="A209" s="24">
        <v>206</v>
      </c>
      <c r="B209" s="2" t="s">
        <v>338</v>
      </c>
      <c r="C209" s="7">
        <v>0.04</v>
      </c>
      <c r="D209" s="7">
        <f>4.34/9.18*C209</f>
        <v>1.8910675381263616E-2</v>
      </c>
      <c r="E209" s="12">
        <v>7</v>
      </c>
      <c r="F209" s="3" t="s">
        <v>75</v>
      </c>
      <c r="G209" s="13" t="s">
        <v>112</v>
      </c>
      <c r="H209" s="1" t="s">
        <v>23</v>
      </c>
      <c r="I209" s="3" t="s">
        <v>24</v>
      </c>
      <c r="J209" s="3">
        <v>5</v>
      </c>
      <c r="K209" s="3">
        <v>2.5000000000000001E-4</v>
      </c>
      <c r="L209" s="23">
        <v>40</v>
      </c>
      <c r="M209" s="1" t="s">
        <v>306</v>
      </c>
      <c r="N209" s="1">
        <v>2010</v>
      </c>
      <c r="O209" s="13" t="s">
        <v>305</v>
      </c>
    </row>
    <row r="210" spans="1:15" x14ac:dyDescent="0.15">
      <c r="A210" s="24">
        <v>207</v>
      </c>
      <c r="B210" s="2" t="s">
        <v>339</v>
      </c>
      <c r="C210" s="7">
        <v>0.04</v>
      </c>
      <c r="D210" s="7">
        <f>1.2/8.9*C210</f>
        <v>5.3932584269662919E-3</v>
      </c>
      <c r="E210" s="12">
        <v>7</v>
      </c>
      <c r="F210" s="3" t="s">
        <v>75</v>
      </c>
      <c r="G210" s="13" t="s">
        <v>112</v>
      </c>
      <c r="H210" s="1" t="s">
        <v>23</v>
      </c>
      <c r="I210" s="3" t="s">
        <v>24</v>
      </c>
      <c r="J210" s="3">
        <v>5</v>
      </c>
      <c r="K210" s="3">
        <v>2.5000000000000001E-4</v>
      </c>
      <c r="L210" s="23">
        <v>40</v>
      </c>
      <c r="M210" s="1" t="s">
        <v>306</v>
      </c>
      <c r="N210" s="1">
        <v>2010</v>
      </c>
      <c r="O210" s="13" t="s">
        <v>305</v>
      </c>
    </row>
    <row r="211" spans="1:15" x14ac:dyDescent="0.15">
      <c r="A211" s="24">
        <v>208</v>
      </c>
      <c r="B211" s="2" t="s">
        <v>340</v>
      </c>
      <c r="C211" s="7">
        <v>0.03</v>
      </c>
      <c r="D211" s="7">
        <f>1.76/6.86*C211</f>
        <v>7.6967930029154513E-3</v>
      </c>
      <c r="E211" s="12">
        <v>7</v>
      </c>
      <c r="F211" s="3" t="s">
        <v>75</v>
      </c>
      <c r="G211" s="13" t="s">
        <v>112</v>
      </c>
      <c r="H211" s="1" t="s">
        <v>23</v>
      </c>
      <c r="I211" s="3" t="s">
        <v>24</v>
      </c>
      <c r="J211" s="3">
        <v>5</v>
      </c>
      <c r="K211" s="3">
        <v>2.5000000000000001E-4</v>
      </c>
      <c r="L211" s="23">
        <v>40</v>
      </c>
      <c r="M211" s="1" t="s">
        <v>306</v>
      </c>
      <c r="N211" s="1">
        <v>2010</v>
      </c>
      <c r="O211" s="13" t="s">
        <v>305</v>
      </c>
    </row>
    <row r="212" spans="1:15" x14ac:dyDescent="0.15">
      <c r="A212" s="24">
        <v>209</v>
      </c>
      <c r="B212" s="2" t="s">
        <v>547</v>
      </c>
      <c r="C212" s="3" t="s">
        <v>342</v>
      </c>
      <c r="D212" s="3"/>
      <c r="E212" s="12">
        <v>7</v>
      </c>
      <c r="F212" s="3" t="s">
        <v>75</v>
      </c>
      <c r="G212" s="13" t="s">
        <v>112</v>
      </c>
      <c r="H212" s="1" t="s">
        <v>23</v>
      </c>
      <c r="I212" s="3" t="s">
        <v>24</v>
      </c>
      <c r="J212" s="3">
        <v>5</v>
      </c>
      <c r="K212" s="3">
        <v>2.5000000000000001E-4</v>
      </c>
      <c r="L212" s="23">
        <v>40</v>
      </c>
      <c r="M212" s="1" t="s">
        <v>306</v>
      </c>
      <c r="N212" s="1">
        <v>2010</v>
      </c>
      <c r="O212" s="13" t="s">
        <v>305</v>
      </c>
    </row>
    <row r="213" spans="1:15" x14ac:dyDescent="0.15">
      <c r="A213" s="24">
        <v>210</v>
      </c>
      <c r="B213" s="2" t="s">
        <v>341</v>
      </c>
      <c r="C213" s="3" t="s">
        <v>342</v>
      </c>
      <c r="D213" s="3"/>
      <c r="E213" s="12">
        <v>7</v>
      </c>
      <c r="F213" s="3" t="s">
        <v>75</v>
      </c>
      <c r="G213" s="13" t="s">
        <v>112</v>
      </c>
      <c r="H213" s="1" t="s">
        <v>23</v>
      </c>
      <c r="I213" s="3" t="s">
        <v>24</v>
      </c>
      <c r="J213" s="3">
        <v>5</v>
      </c>
      <c r="K213" s="3">
        <v>2.5000000000000001E-4</v>
      </c>
      <c r="L213" s="23">
        <v>40</v>
      </c>
      <c r="M213" s="1" t="s">
        <v>306</v>
      </c>
      <c r="N213" s="1">
        <v>2010</v>
      </c>
      <c r="O213" s="13" t="s">
        <v>305</v>
      </c>
    </row>
    <row r="214" spans="1:15" x14ac:dyDescent="0.15">
      <c r="A214" s="24">
        <v>211</v>
      </c>
      <c r="B214" s="2" t="s">
        <v>15</v>
      </c>
      <c r="C214" s="6">
        <v>4.5999999999999996</v>
      </c>
      <c r="D214" s="6"/>
      <c r="E214" s="12">
        <v>7</v>
      </c>
      <c r="F214" s="3">
        <v>19</v>
      </c>
      <c r="G214" s="13" t="s">
        <v>346</v>
      </c>
      <c r="H214" s="1" t="s">
        <v>185</v>
      </c>
      <c r="I214" s="3" t="s">
        <v>133</v>
      </c>
      <c r="J214" s="3">
        <v>5</v>
      </c>
      <c r="K214" s="3">
        <v>5.0000000000000002E-5</v>
      </c>
      <c r="L214" s="23">
        <v>41</v>
      </c>
      <c r="M214" s="1" t="s">
        <v>278</v>
      </c>
      <c r="N214" s="1">
        <v>2010</v>
      </c>
      <c r="O214" s="13" t="s">
        <v>345</v>
      </c>
    </row>
    <row r="215" spans="1:15" x14ac:dyDescent="0.15">
      <c r="A215" s="24">
        <v>212</v>
      </c>
      <c r="B215" s="2" t="s">
        <v>249</v>
      </c>
      <c r="C215" s="8">
        <v>13.58</v>
      </c>
      <c r="D215" s="8"/>
      <c r="E215" s="12">
        <v>7</v>
      </c>
      <c r="F215" s="3">
        <v>19</v>
      </c>
      <c r="G215" s="13" t="s">
        <v>346</v>
      </c>
      <c r="H215" s="1" t="s">
        <v>185</v>
      </c>
      <c r="I215" s="3" t="s">
        <v>133</v>
      </c>
      <c r="J215" s="3">
        <v>5</v>
      </c>
      <c r="K215" s="3">
        <v>5.0000000000000002E-5</v>
      </c>
      <c r="L215" s="23">
        <v>41</v>
      </c>
      <c r="M215" s="1" t="s">
        <v>278</v>
      </c>
      <c r="N215" s="1">
        <v>2010</v>
      </c>
      <c r="O215" s="13" t="s">
        <v>345</v>
      </c>
    </row>
    <row r="216" spans="1:15" x14ac:dyDescent="0.15">
      <c r="A216" s="24">
        <v>213</v>
      </c>
      <c r="B216" s="2" t="s">
        <v>324</v>
      </c>
      <c r="C216" s="6">
        <v>0.61</v>
      </c>
      <c r="D216" s="6">
        <v>0.02</v>
      </c>
      <c r="E216" s="12">
        <v>7</v>
      </c>
      <c r="F216" s="3">
        <v>25</v>
      </c>
      <c r="G216" s="13" t="s">
        <v>283</v>
      </c>
      <c r="H216" s="1" t="s">
        <v>185</v>
      </c>
      <c r="I216" s="3" t="s">
        <v>133</v>
      </c>
      <c r="J216" s="3" t="s">
        <v>351</v>
      </c>
      <c r="K216" s="3" t="s">
        <v>349</v>
      </c>
      <c r="L216" s="23">
        <v>42</v>
      </c>
      <c r="M216" s="1" t="s">
        <v>280</v>
      </c>
      <c r="N216" s="1">
        <v>2010</v>
      </c>
      <c r="O216" s="13" t="s">
        <v>347</v>
      </c>
    </row>
    <row r="217" spans="1:15" x14ac:dyDescent="0.15">
      <c r="A217" s="24">
        <v>214</v>
      </c>
      <c r="B217" s="2" t="s">
        <v>318</v>
      </c>
      <c r="C217" s="6">
        <v>1.6</v>
      </c>
      <c r="D217" s="6">
        <v>0.1</v>
      </c>
      <c r="E217" s="12">
        <v>7</v>
      </c>
      <c r="F217" s="3">
        <v>25</v>
      </c>
      <c r="G217" s="13" t="s">
        <v>283</v>
      </c>
      <c r="H217" s="1" t="s">
        <v>185</v>
      </c>
      <c r="I217" s="3" t="s">
        <v>133</v>
      </c>
      <c r="J217" s="3" t="s">
        <v>352</v>
      </c>
      <c r="K217" s="3" t="s">
        <v>350</v>
      </c>
      <c r="L217" s="23">
        <v>42</v>
      </c>
      <c r="M217" s="1" t="s">
        <v>280</v>
      </c>
      <c r="N217" s="1">
        <v>2010</v>
      </c>
      <c r="O217" s="13" t="s">
        <v>347</v>
      </c>
    </row>
    <row r="218" spans="1:15" x14ac:dyDescent="0.15">
      <c r="A218" s="24">
        <v>215</v>
      </c>
      <c r="B218" s="2" t="s">
        <v>348</v>
      </c>
      <c r="C218" s="6">
        <v>3.6</v>
      </c>
      <c r="D218" s="6">
        <v>0.1</v>
      </c>
      <c r="E218" s="12">
        <v>7</v>
      </c>
      <c r="F218" s="3">
        <v>25</v>
      </c>
      <c r="G218" s="13" t="s">
        <v>283</v>
      </c>
      <c r="H218" s="1" t="s">
        <v>185</v>
      </c>
      <c r="I218" s="3" t="s">
        <v>133</v>
      </c>
      <c r="J218" s="3" t="s">
        <v>352</v>
      </c>
      <c r="K218" s="3" t="s">
        <v>350</v>
      </c>
      <c r="L218" s="23">
        <v>42</v>
      </c>
      <c r="M218" s="1" t="s">
        <v>280</v>
      </c>
      <c r="N218" s="1">
        <v>2010</v>
      </c>
      <c r="O218" s="13" t="s">
        <v>347</v>
      </c>
    </row>
    <row r="219" spans="1:15" x14ac:dyDescent="0.15">
      <c r="A219" s="24">
        <v>216</v>
      </c>
      <c r="B219" s="2" t="s">
        <v>690</v>
      </c>
      <c r="C219" s="8">
        <v>35.799999999999997</v>
      </c>
      <c r="D219" s="8"/>
      <c r="E219" s="12">
        <v>7</v>
      </c>
      <c r="F219" s="3">
        <v>23</v>
      </c>
      <c r="G219" s="13" t="s">
        <v>355</v>
      </c>
      <c r="H219" s="1" t="s">
        <v>185</v>
      </c>
      <c r="I219" s="3" t="s">
        <v>133</v>
      </c>
      <c r="J219" s="3">
        <v>10</v>
      </c>
      <c r="K219" s="3">
        <v>6.0000000000000002E-5</v>
      </c>
      <c r="L219" s="23">
        <v>43</v>
      </c>
      <c r="M219" s="1" t="s">
        <v>285</v>
      </c>
      <c r="N219" s="1">
        <v>2010</v>
      </c>
      <c r="O219" s="13" t="s">
        <v>353</v>
      </c>
    </row>
    <row r="220" spans="1:15" x14ac:dyDescent="0.15">
      <c r="A220" s="24">
        <v>217</v>
      </c>
      <c r="B220" s="2" t="s">
        <v>282</v>
      </c>
      <c r="C220" s="5">
        <v>270</v>
      </c>
      <c r="D220" s="5"/>
      <c r="E220" s="12">
        <v>6</v>
      </c>
      <c r="F220" s="3">
        <v>23</v>
      </c>
      <c r="G220" s="13" t="s">
        <v>355</v>
      </c>
      <c r="H220" s="1" t="s">
        <v>185</v>
      </c>
      <c r="I220" s="3" t="s">
        <v>133</v>
      </c>
      <c r="J220" s="3">
        <v>10</v>
      </c>
      <c r="K220" s="3">
        <v>6.0000000000000002E-5</v>
      </c>
      <c r="L220" s="23">
        <v>43</v>
      </c>
      <c r="M220" s="1" t="s">
        <v>285</v>
      </c>
      <c r="N220" s="1">
        <v>2010</v>
      </c>
      <c r="O220" s="13" t="s">
        <v>353</v>
      </c>
    </row>
    <row r="221" spans="1:15" x14ac:dyDescent="0.15">
      <c r="A221" s="24">
        <v>218</v>
      </c>
      <c r="B221" s="2" t="s">
        <v>354</v>
      </c>
      <c r="C221" s="8">
        <v>80</v>
      </c>
      <c r="D221" s="8"/>
      <c r="E221" s="12">
        <v>6</v>
      </c>
      <c r="F221" s="3">
        <v>23</v>
      </c>
      <c r="G221" s="13" t="s">
        <v>355</v>
      </c>
      <c r="H221" s="1" t="s">
        <v>185</v>
      </c>
      <c r="I221" s="3" t="s">
        <v>133</v>
      </c>
      <c r="J221" s="3">
        <v>10</v>
      </c>
      <c r="K221" s="3">
        <v>6.0000000000000002E-5</v>
      </c>
      <c r="L221" s="23">
        <v>43</v>
      </c>
      <c r="M221" s="1" t="s">
        <v>285</v>
      </c>
      <c r="N221" s="1">
        <v>2010</v>
      </c>
      <c r="O221" s="13" t="s">
        <v>353</v>
      </c>
    </row>
    <row r="222" spans="1:15" x14ac:dyDescent="0.15">
      <c r="A222" s="24">
        <v>219</v>
      </c>
      <c r="B222" s="2" t="s">
        <v>371</v>
      </c>
      <c r="C222" s="8">
        <v>44.45</v>
      </c>
      <c r="D222" s="8"/>
      <c r="E222" s="12">
        <v>5.8</v>
      </c>
      <c r="F222" s="3">
        <v>25</v>
      </c>
      <c r="G222" s="13" t="s">
        <v>683</v>
      </c>
      <c r="H222" s="1" t="s">
        <v>185</v>
      </c>
      <c r="I222" s="3" t="s">
        <v>133</v>
      </c>
      <c r="J222" s="3" t="s">
        <v>682</v>
      </c>
      <c r="K222" s="3" t="s">
        <v>681</v>
      </c>
      <c r="L222" s="23">
        <v>44</v>
      </c>
      <c r="M222" s="1" t="s">
        <v>356</v>
      </c>
      <c r="N222" s="1">
        <v>2010</v>
      </c>
      <c r="O222" s="13" t="s">
        <v>357</v>
      </c>
    </row>
    <row r="223" spans="1:15" x14ac:dyDescent="0.15">
      <c r="A223" s="24">
        <v>220</v>
      </c>
      <c r="B223" s="2" t="s">
        <v>184</v>
      </c>
      <c r="C223" s="4">
        <v>4.1999999999999998E-5</v>
      </c>
      <c r="D223" s="4">
        <v>2.2000000000000001E-6</v>
      </c>
      <c r="E223" s="12">
        <v>7</v>
      </c>
      <c r="F223" s="3">
        <v>25</v>
      </c>
      <c r="G223" s="13" t="s">
        <v>63</v>
      </c>
      <c r="H223" s="1" t="s">
        <v>185</v>
      </c>
      <c r="I223" s="3" t="s">
        <v>133</v>
      </c>
      <c r="J223" s="3" t="s">
        <v>684</v>
      </c>
      <c r="K223" s="3" t="s">
        <v>360</v>
      </c>
      <c r="L223" s="23">
        <v>45</v>
      </c>
      <c r="M223" s="1" t="s">
        <v>359</v>
      </c>
      <c r="N223" s="1">
        <v>2011</v>
      </c>
      <c r="O223" s="13" t="s">
        <v>358</v>
      </c>
    </row>
    <row r="224" spans="1:15" x14ac:dyDescent="0.15">
      <c r="A224" s="24">
        <v>221</v>
      </c>
      <c r="B224" s="2" t="s">
        <v>685</v>
      </c>
      <c r="C224" s="4">
        <v>1.1800000000000001E-3</v>
      </c>
      <c r="D224" s="4">
        <v>2.0000000000000002E-5</v>
      </c>
      <c r="E224" s="12">
        <v>7</v>
      </c>
      <c r="F224" s="3">
        <v>25</v>
      </c>
      <c r="G224" s="13" t="s">
        <v>63</v>
      </c>
      <c r="H224" s="1" t="s">
        <v>185</v>
      </c>
      <c r="I224" s="3" t="s">
        <v>133</v>
      </c>
      <c r="J224" s="3" t="s">
        <v>684</v>
      </c>
      <c r="K224" s="3" t="s">
        <v>360</v>
      </c>
      <c r="L224" s="23">
        <v>45</v>
      </c>
      <c r="M224" s="1" t="s">
        <v>359</v>
      </c>
      <c r="N224" s="1">
        <v>2011</v>
      </c>
      <c r="O224" s="13" t="s">
        <v>358</v>
      </c>
    </row>
    <row r="225" spans="1:15" x14ac:dyDescent="0.15">
      <c r="A225" s="24">
        <v>222</v>
      </c>
      <c r="B225" s="2" t="s">
        <v>249</v>
      </c>
      <c r="C225" s="8">
        <v>16.2</v>
      </c>
      <c r="D225" s="8">
        <f>0.206/24.3*C225</f>
        <v>0.13733333333333334</v>
      </c>
      <c r="E225" s="12">
        <v>5.3</v>
      </c>
      <c r="F225" s="3">
        <v>22</v>
      </c>
      <c r="G225" s="13" t="s">
        <v>686</v>
      </c>
      <c r="H225" s="1" t="s">
        <v>23</v>
      </c>
      <c r="I225" s="3" t="s">
        <v>133</v>
      </c>
      <c r="J225" s="3">
        <v>9.4</v>
      </c>
      <c r="K225" s="3">
        <v>1.5E-3</v>
      </c>
      <c r="L225" s="23">
        <v>46</v>
      </c>
      <c r="M225" s="1" t="s">
        <v>362</v>
      </c>
      <c r="N225" s="1">
        <v>2011</v>
      </c>
      <c r="O225" s="13" t="s">
        <v>361</v>
      </c>
    </row>
    <row r="226" spans="1:15" x14ac:dyDescent="0.15">
      <c r="A226" s="24">
        <v>223</v>
      </c>
      <c r="B226" s="2" t="s">
        <v>252</v>
      </c>
      <c r="C226" s="6">
        <v>0.95</v>
      </c>
      <c r="D226" s="6">
        <f>0.0011/1.42*C226</f>
        <v>7.3591549295774653E-4</v>
      </c>
      <c r="E226" s="12">
        <v>5.3</v>
      </c>
      <c r="F226" s="3">
        <v>22</v>
      </c>
      <c r="G226" s="13" t="s">
        <v>686</v>
      </c>
      <c r="H226" s="1" t="s">
        <v>23</v>
      </c>
      <c r="I226" s="3" t="s">
        <v>133</v>
      </c>
      <c r="J226" s="3">
        <v>9.4</v>
      </c>
      <c r="K226" s="3">
        <v>1.5E-3</v>
      </c>
      <c r="L226" s="23">
        <v>46</v>
      </c>
      <c r="M226" s="1" t="s">
        <v>362</v>
      </c>
      <c r="N226" s="1">
        <v>2011</v>
      </c>
      <c r="O226" s="13" t="s">
        <v>361</v>
      </c>
    </row>
    <row r="227" spans="1:15" x14ac:dyDescent="0.15">
      <c r="A227" s="24">
        <v>224</v>
      </c>
      <c r="B227" s="2" t="s">
        <v>179</v>
      </c>
      <c r="C227" s="6">
        <v>4.2</v>
      </c>
      <c r="D227" s="6">
        <f>0.022/6.26*C227</f>
        <v>1.476038338658147E-2</v>
      </c>
      <c r="E227" s="12">
        <v>5.3</v>
      </c>
      <c r="F227" s="3">
        <v>22</v>
      </c>
      <c r="G227" s="13" t="s">
        <v>686</v>
      </c>
      <c r="H227" s="1" t="s">
        <v>23</v>
      </c>
      <c r="I227" s="3" t="s">
        <v>133</v>
      </c>
      <c r="J227" s="3">
        <v>9.4</v>
      </c>
      <c r="K227" s="3">
        <v>1.5E-3</v>
      </c>
      <c r="L227" s="23">
        <v>46</v>
      </c>
      <c r="M227" s="1" t="s">
        <v>362</v>
      </c>
      <c r="N227" s="1">
        <v>2011</v>
      </c>
      <c r="O227" s="13" t="s">
        <v>361</v>
      </c>
    </row>
    <row r="228" spans="1:15" x14ac:dyDescent="0.15">
      <c r="A228" s="24">
        <v>225</v>
      </c>
      <c r="B228" s="2" t="s">
        <v>180</v>
      </c>
      <c r="C228" s="6">
        <v>3.8</v>
      </c>
      <c r="D228" s="6">
        <f>0.0479/5.74*C228</f>
        <v>3.171080139372822E-2</v>
      </c>
      <c r="E228" s="12">
        <v>5.3</v>
      </c>
      <c r="F228" s="3">
        <v>22</v>
      </c>
      <c r="G228" s="13" t="s">
        <v>686</v>
      </c>
      <c r="H228" s="1" t="s">
        <v>23</v>
      </c>
      <c r="I228" s="3" t="s">
        <v>133</v>
      </c>
      <c r="J228" s="3">
        <v>9.4</v>
      </c>
      <c r="K228" s="3">
        <v>1.5E-3</v>
      </c>
      <c r="L228" s="23">
        <v>46</v>
      </c>
      <c r="M228" s="1" t="s">
        <v>362</v>
      </c>
      <c r="N228" s="1">
        <v>2011</v>
      </c>
      <c r="O228" s="13" t="s">
        <v>361</v>
      </c>
    </row>
    <row r="229" spans="1:15" x14ac:dyDescent="0.15">
      <c r="A229" s="24">
        <v>226</v>
      </c>
      <c r="B229" s="2" t="s">
        <v>181</v>
      </c>
      <c r="C229" s="8">
        <v>12.9</v>
      </c>
      <c r="D229" s="7">
        <f>0.0627/19.4*C229</f>
        <v>4.1692268041237122E-2</v>
      </c>
      <c r="E229" s="12">
        <v>5.3</v>
      </c>
      <c r="F229" s="3">
        <v>22</v>
      </c>
      <c r="G229" s="13" t="s">
        <v>686</v>
      </c>
      <c r="H229" s="1" t="s">
        <v>23</v>
      </c>
      <c r="I229" s="3" t="s">
        <v>133</v>
      </c>
      <c r="J229" s="3">
        <v>9.4</v>
      </c>
      <c r="K229" s="3">
        <v>1.5E-3</v>
      </c>
      <c r="L229" s="23">
        <v>46</v>
      </c>
      <c r="M229" s="1" t="s">
        <v>362</v>
      </c>
      <c r="N229" s="1">
        <v>2011</v>
      </c>
      <c r="O229" s="13" t="s">
        <v>361</v>
      </c>
    </row>
    <row r="230" spans="1:15" x14ac:dyDescent="0.15">
      <c r="A230" s="24">
        <v>227</v>
      </c>
      <c r="B230" s="2" t="s">
        <v>15</v>
      </c>
      <c r="C230" s="6">
        <v>6.67</v>
      </c>
      <c r="D230" s="6"/>
      <c r="E230" s="12">
        <v>7</v>
      </c>
      <c r="F230" s="3">
        <v>25</v>
      </c>
      <c r="G230" s="13" t="s">
        <v>368</v>
      </c>
      <c r="H230" s="1" t="s">
        <v>185</v>
      </c>
      <c r="I230" s="3" t="s">
        <v>133</v>
      </c>
      <c r="J230" s="3">
        <v>10</v>
      </c>
      <c r="K230" s="3">
        <v>5.0000000000000002E-5</v>
      </c>
      <c r="L230" s="23">
        <v>47</v>
      </c>
      <c r="M230" s="1" t="s">
        <v>364</v>
      </c>
      <c r="N230" s="1">
        <v>2012</v>
      </c>
      <c r="O230" s="13" t="s">
        <v>363</v>
      </c>
    </row>
    <row r="231" spans="1:15" x14ac:dyDescent="0.15">
      <c r="A231" s="24">
        <v>228</v>
      </c>
      <c r="B231" s="2" t="s">
        <v>249</v>
      </c>
      <c r="C231" s="8">
        <v>24.1</v>
      </c>
      <c r="D231" s="8"/>
      <c r="E231" s="12">
        <v>7</v>
      </c>
      <c r="F231" s="3">
        <v>25</v>
      </c>
      <c r="G231" s="13" t="s">
        <v>368</v>
      </c>
      <c r="H231" s="1" t="s">
        <v>185</v>
      </c>
      <c r="I231" s="3" t="s">
        <v>133</v>
      </c>
      <c r="J231" s="3">
        <v>10</v>
      </c>
      <c r="K231" s="3">
        <v>5.0000000000000002E-5</v>
      </c>
      <c r="L231" s="23">
        <v>47</v>
      </c>
      <c r="M231" s="1" t="s">
        <v>364</v>
      </c>
      <c r="N231" s="1">
        <v>2012</v>
      </c>
      <c r="O231" s="13" t="s">
        <v>363</v>
      </c>
    </row>
    <row r="232" spans="1:15" x14ac:dyDescent="0.15">
      <c r="A232" s="24">
        <v>229</v>
      </c>
      <c r="B232" s="2" t="s">
        <v>252</v>
      </c>
      <c r="C232" s="6">
        <v>2.13</v>
      </c>
      <c r="D232" s="6"/>
      <c r="E232" s="12">
        <v>7</v>
      </c>
      <c r="F232" s="3">
        <v>25</v>
      </c>
      <c r="G232" s="13" t="s">
        <v>368</v>
      </c>
      <c r="H232" s="1" t="s">
        <v>185</v>
      </c>
      <c r="I232" s="3" t="s">
        <v>133</v>
      </c>
      <c r="J232" s="3">
        <v>10</v>
      </c>
      <c r="K232" s="3">
        <v>5.0000000000000002E-5</v>
      </c>
      <c r="L232" s="23">
        <v>47</v>
      </c>
      <c r="M232" s="1" t="s">
        <v>364</v>
      </c>
      <c r="N232" s="1">
        <v>2012</v>
      </c>
      <c r="O232" s="13" t="s">
        <v>363</v>
      </c>
    </row>
    <row r="233" spans="1:15" x14ac:dyDescent="0.15">
      <c r="A233" s="24">
        <v>230</v>
      </c>
      <c r="B233" s="2" t="s">
        <v>179</v>
      </c>
      <c r="C233" s="6">
        <v>8.4</v>
      </c>
      <c r="D233" s="6"/>
      <c r="E233" s="12">
        <v>7</v>
      </c>
      <c r="F233" s="3">
        <v>25</v>
      </c>
      <c r="G233" s="13" t="s">
        <v>368</v>
      </c>
      <c r="H233" s="1" t="s">
        <v>185</v>
      </c>
      <c r="I233" s="3" t="s">
        <v>133</v>
      </c>
      <c r="J233" s="3">
        <v>10</v>
      </c>
      <c r="K233" s="3">
        <v>5.0000000000000002E-5</v>
      </c>
      <c r="L233" s="23">
        <v>47</v>
      </c>
      <c r="M233" s="1" t="s">
        <v>364</v>
      </c>
      <c r="N233" s="1">
        <v>2012</v>
      </c>
      <c r="O233" s="13" t="s">
        <v>363</v>
      </c>
    </row>
    <row r="234" spans="1:15" x14ac:dyDescent="0.15">
      <c r="A234" s="24">
        <v>231</v>
      </c>
      <c r="B234" s="2" t="s">
        <v>365</v>
      </c>
      <c r="C234" s="6">
        <v>9.43</v>
      </c>
      <c r="D234" s="6"/>
      <c r="E234" s="12">
        <v>7</v>
      </c>
      <c r="F234" s="3">
        <v>25</v>
      </c>
      <c r="G234" s="13" t="s">
        <v>368</v>
      </c>
      <c r="H234" s="1" t="s">
        <v>185</v>
      </c>
      <c r="I234" s="3" t="s">
        <v>133</v>
      </c>
      <c r="J234" s="3">
        <v>10</v>
      </c>
      <c r="K234" s="3">
        <v>5.0000000000000002E-5</v>
      </c>
      <c r="L234" s="23">
        <v>47</v>
      </c>
      <c r="M234" s="1" t="s">
        <v>364</v>
      </c>
      <c r="N234" s="1">
        <v>2012</v>
      </c>
      <c r="O234" s="13" t="s">
        <v>363</v>
      </c>
    </row>
    <row r="235" spans="1:15" x14ac:dyDescent="0.15">
      <c r="A235" s="24">
        <v>232</v>
      </c>
      <c r="B235" s="2" t="s">
        <v>180</v>
      </c>
      <c r="C235" s="8">
        <v>18.7</v>
      </c>
      <c r="D235" s="8"/>
      <c r="E235" s="12">
        <v>7</v>
      </c>
      <c r="F235" s="3">
        <v>25</v>
      </c>
      <c r="G235" s="13" t="s">
        <v>368</v>
      </c>
      <c r="H235" s="1" t="s">
        <v>185</v>
      </c>
      <c r="I235" s="3" t="s">
        <v>133</v>
      </c>
      <c r="J235" s="3">
        <v>10</v>
      </c>
      <c r="K235" s="3">
        <v>5.0000000000000002E-5</v>
      </c>
      <c r="L235" s="23">
        <v>47</v>
      </c>
      <c r="M235" s="1" t="s">
        <v>364</v>
      </c>
      <c r="N235" s="1">
        <v>2012</v>
      </c>
      <c r="O235" s="13" t="s">
        <v>363</v>
      </c>
    </row>
    <row r="236" spans="1:15" x14ac:dyDescent="0.15">
      <c r="A236" s="24">
        <v>233</v>
      </c>
      <c r="B236" s="2" t="s">
        <v>181</v>
      </c>
      <c r="C236" s="8">
        <v>43.67</v>
      </c>
      <c r="D236" s="8"/>
      <c r="E236" s="12">
        <v>7</v>
      </c>
      <c r="F236" s="3">
        <v>25</v>
      </c>
      <c r="G236" s="13" t="s">
        <v>368</v>
      </c>
      <c r="H236" s="1" t="s">
        <v>185</v>
      </c>
      <c r="I236" s="3" t="s">
        <v>133</v>
      </c>
      <c r="J236" s="3">
        <v>10</v>
      </c>
      <c r="K236" s="3">
        <v>5.0000000000000002E-5</v>
      </c>
      <c r="L236" s="23">
        <v>47</v>
      </c>
      <c r="M236" s="1" t="s">
        <v>364</v>
      </c>
      <c r="N236" s="1">
        <v>2012</v>
      </c>
      <c r="O236" s="13" t="s">
        <v>363</v>
      </c>
    </row>
    <row r="237" spans="1:15" x14ac:dyDescent="0.15">
      <c r="A237" s="24">
        <v>234</v>
      </c>
      <c r="B237" s="2" t="s">
        <v>367</v>
      </c>
      <c r="C237" s="6">
        <v>1.93</v>
      </c>
      <c r="D237" s="6"/>
      <c r="E237" s="12">
        <v>7</v>
      </c>
      <c r="F237" s="3">
        <v>25</v>
      </c>
      <c r="G237" s="13" t="s">
        <v>368</v>
      </c>
      <c r="H237" s="1" t="s">
        <v>185</v>
      </c>
      <c r="I237" s="3" t="s">
        <v>133</v>
      </c>
      <c r="J237" s="3">
        <v>10</v>
      </c>
      <c r="K237" s="3">
        <v>5.0000000000000002E-5</v>
      </c>
      <c r="L237" s="23">
        <v>47</v>
      </c>
      <c r="M237" s="1" t="s">
        <v>364</v>
      </c>
      <c r="N237" s="1">
        <v>2012</v>
      </c>
      <c r="O237" s="13" t="s">
        <v>363</v>
      </c>
    </row>
    <row r="238" spans="1:15" x14ac:dyDescent="0.15">
      <c r="A238" s="24">
        <v>235</v>
      </c>
      <c r="B238" s="2" t="s">
        <v>254</v>
      </c>
      <c r="C238" s="8">
        <v>14.47</v>
      </c>
      <c r="D238" s="8"/>
      <c r="E238" s="12">
        <v>7</v>
      </c>
      <c r="F238" s="3">
        <v>25</v>
      </c>
      <c r="G238" s="13" t="s">
        <v>368</v>
      </c>
      <c r="H238" s="1" t="s">
        <v>185</v>
      </c>
      <c r="I238" s="3" t="s">
        <v>133</v>
      </c>
      <c r="J238" s="3">
        <v>10</v>
      </c>
      <c r="K238" s="3">
        <v>5.0000000000000002E-5</v>
      </c>
      <c r="L238" s="23">
        <v>47</v>
      </c>
      <c r="M238" s="1" t="s">
        <v>364</v>
      </c>
      <c r="N238" s="1">
        <v>2012</v>
      </c>
      <c r="O238" s="13" t="s">
        <v>363</v>
      </c>
    </row>
    <row r="239" spans="1:15" x14ac:dyDescent="0.15">
      <c r="A239" s="24">
        <v>236</v>
      </c>
      <c r="B239" s="2" t="s">
        <v>366</v>
      </c>
      <c r="C239" s="6">
        <v>0.37</v>
      </c>
      <c r="D239" s="6"/>
      <c r="E239" s="12">
        <v>7</v>
      </c>
      <c r="F239" s="3">
        <v>25</v>
      </c>
      <c r="G239" s="13" t="s">
        <v>368</v>
      </c>
      <c r="H239" s="1" t="s">
        <v>185</v>
      </c>
      <c r="I239" s="3" t="s">
        <v>133</v>
      </c>
      <c r="J239" s="3">
        <v>10</v>
      </c>
      <c r="K239" s="3">
        <v>5.0000000000000002E-5</v>
      </c>
      <c r="L239" s="23">
        <v>47</v>
      </c>
      <c r="M239" s="1" t="s">
        <v>364</v>
      </c>
      <c r="N239" s="1">
        <v>2012</v>
      </c>
      <c r="O239" s="13" t="s">
        <v>363</v>
      </c>
    </row>
    <row r="240" spans="1:15" x14ac:dyDescent="0.15">
      <c r="A240" s="24">
        <v>237</v>
      </c>
      <c r="B240" s="2" t="s">
        <v>371</v>
      </c>
      <c r="C240" s="8">
        <v>86.2</v>
      </c>
      <c r="D240" s="8"/>
      <c r="E240" s="12">
        <v>7</v>
      </c>
      <c r="F240" s="3">
        <v>25</v>
      </c>
      <c r="G240" s="13" t="s">
        <v>355</v>
      </c>
      <c r="H240" s="1" t="s">
        <v>376</v>
      </c>
      <c r="I240" s="3" t="s">
        <v>133</v>
      </c>
      <c r="J240" s="3" t="s">
        <v>165</v>
      </c>
      <c r="K240" s="3" t="s">
        <v>375</v>
      </c>
      <c r="L240" s="23">
        <v>48</v>
      </c>
      <c r="M240" s="1" t="s">
        <v>285</v>
      </c>
      <c r="N240" s="1">
        <v>2012</v>
      </c>
      <c r="O240" s="13" t="s">
        <v>370</v>
      </c>
    </row>
    <row r="241" spans="1:29" x14ac:dyDescent="0.15">
      <c r="A241" s="24">
        <v>238</v>
      </c>
      <c r="B241" s="2" t="s">
        <v>372</v>
      </c>
      <c r="C241" s="8">
        <v>81.900000000000006</v>
      </c>
      <c r="D241" s="8"/>
      <c r="E241" s="12">
        <v>7</v>
      </c>
      <c r="F241" s="3">
        <v>25</v>
      </c>
      <c r="G241" s="13" t="s">
        <v>355</v>
      </c>
      <c r="H241" s="1" t="s">
        <v>376</v>
      </c>
      <c r="I241" s="3" t="s">
        <v>133</v>
      </c>
      <c r="J241" s="3" t="s">
        <v>165</v>
      </c>
      <c r="K241" s="3" t="s">
        <v>374</v>
      </c>
      <c r="L241" s="23">
        <v>48</v>
      </c>
      <c r="M241" s="1" t="s">
        <v>285</v>
      </c>
      <c r="N241" s="1">
        <v>2012</v>
      </c>
      <c r="O241" s="13" t="s">
        <v>370</v>
      </c>
    </row>
    <row r="242" spans="1:29" x14ac:dyDescent="0.15">
      <c r="A242" s="24">
        <v>239</v>
      </c>
      <c r="B242" s="2" t="s">
        <v>373</v>
      </c>
      <c r="C242" s="8">
        <v>87.4</v>
      </c>
      <c r="D242" s="8"/>
      <c r="E242" s="12">
        <v>7</v>
      </c>
      <c r="F242" s="3">
        <v>25</v>
      </c>
      <c r="G242" s="13" t="s">
        <v>355</v>
      </c>
      <c r="H242" s="1" t="s">
        <v>376</v>
      </c>
      <c r="I242" s="3" t="s">
        <v>133</v>
      </c>
      <c r="J242" s="3" t="s">
        <v>165</v>
      </c>
      <c r="K242" s="3" t="s">
        <v>375</v>
      </c>
      <c r="L242" s="23">
        <v>48</v>
      </c>
      <c r="M242" s="1" t="s">
        <v>285</v>
      </c>
      <c r="N242" s="1">
        <v>2012</v>
      </c>
      <c r="O242" s="13" t="s">
        <v>370</v>
      </c>
    </row>
    <row r="243" spans="1:29" x14ac:dyDescent="0.15">
      <c r="A243" s="24">
        <v>240</v>
      </c>
      <c r="B243" s="2" t="s">
        <v>532</v>
      </c>
      <c r="C243" s="8">
        <v>63.9</v>
      </c>
      <c r="D243" s="8"/>
      <c r="E243" s="12">
        <v>7</v>
      </c>
      <c r="F243" s="3">
        <v>25</v>
      </c>
      <c r="G243" s="13" t="s">
        <v>355</v>
      </c>
      <c r="H243" s="1" t="s">
        <v>376</v>
      </c>
      <c r="I243" s="3" t="s">
        <v>133</v>
      </c>
      <c r="J243" s="3" t="s">
        <v>165</v>
      </c>
      <c r="K243" s="3" t="s">
        <v>375</v>
      </c>
      <c r="L243" s="23">
        <v>48</v>
      </c>
      <c r="M243" s="1" t="s">
        <v>285</v>
      </c>
      <c r="N243" s="1">
        <v>2012</v>
      </c>
      <c r="O243" s="13" t="s">
        <v>370</v>
      </c>
    </row>
    <row r="244" spans="1:29" x14ac:dyDescent="0.15">
      <c r="A244" s="24">
        <v>241</v>
      </c>
      <c r="B244" s="2" t="s">
        <v>687</v>
      </c>
      <c r="C244" s="8">
        <v>122.2</v>
      </c>
      <c r="D244" s="8"/>
      <c r="E244" s="12">
        <v>7</v>
      </c>
      <c r="F244" s="3">
        <v>25</v>
      </c>
      <c r="G244" s="13" t="s">
        <v>355</v>
      </c>
      <c r="H244" s="1" t="s">
        <v>376</v>
      </c>
      <c r="I244" s="3" t="s">
        <v>133</v>
      </c>
      <c r="J244" s="3" t="s">
        <v>165</v>
      </c>
      <c r="K244" s="3" t="s">
        <v>375</v>
      </c>
      <c r="L244" s="23">
        <v>48</v>
      </c>
      <c r="M244" s="1" t="s">
        <v>285</v>
      </c>
      <c r="N244" s="1">
        <v>2012</v>
      </c>
      <c r="O244" s="13" t="s">
        <v>370</v>
      </c>
    </row>
    <row r="245" spans="1:29" x14ac:dyDescent="0.15">
      <c r="A245" s="24">
        <v>242</v>
      </c>
      <c r="B245" s="2" t="s">
        <v>379</v>
      </c>
      <c r="C245" s="4">
        <f>0.46/24/60/60/(0.001/158)</f>
        <v>0.84120370370370368</v>
      </c>
      <c r="D245" s="4"/>
      <c r="E245" s="12">
        <v>4.2</v>
      </c>
      <c r="F245" s="3">
        <v>25</v>
      </c>
      <c r="G245" s="13" t="s">
        <v>666</v>
      </c>
      <c r="H245" s="1" t="s">
        <v>298</v>
      </c>
      <c r="I245" s="3" t="s">
        <v>133</v>
      </c>
      <c r="J245" s="5">
        <f>K245/(0.0001/500.13)</f>
        <v>31.65379746835443</v>
      </c>
      <c r="K245" s="3">
        <f>0.001/158</f>
        <v>6.3291139240506333E-6</v>
      </c>
      <c r="L245" s="23">
        <v>49</v>
      </c>
      <c r="M245" s="1" t="s">
        <v>378</v>
      </c>
      <c r="N245" s="1">
        <v>2012</v>
      </c>
      <c r="O245" s="13" t="s">
        <v>377</v>
      </c>
      <c r="Z245" s="34"/>
      <c r="AA245" s="34"/>
      <c r="AB245" s="34"/>
    </row>
    <row r="246" spans="1:29" x14ac:dyDescent="0.15">
      <c r="A246" s="24">
        <v>243</v>
      </c>
      <c r="B246" s="2" t="s">
        <v>382</v>
      </c>
      <c r="C246" s="5">
        <v>179</v>
      </c>
      <c r="D246" s="5">
        <v>10</v>
      </c>
      <c r="E246" s="12">
        <v>6</v>
      </c>
      <c r="F246" s="3">
        <v>22</v>
      </c>
      <c r="G246" s="13" t="s">
        <v>112</v>
      </c>
      <c r="H246" s="1" t="s">
        <v>386</v>
      </c>
      <c r="I246" s="3" t="s">
        <v>133</v>
      </c>
      <c r="J246" s="3" t="s">
        <v>688</v>
      </c>
      <c r="K246" s="108" t="s">
        <v>387</v>
      </c>
      <c r="L246" s="23">
        <v>50</v>
      </c>
      <c r="M246" s="1" t="s">
        <v>381</v>
      </c>
      <c r="N246" s="1">
        <v>2013</v>
      </c>
      <c r="O246" s="13" t="s">
        <v>380</v>
      </c>
      <c r="Z246" s="34"/>
      <c r="AA246" s="34"/>
      <c r="AB246" s="34"/>
    </row>
    <row r="247" spans="1:29" x14ac:dyDescent="0.15">
      <c r="A247" s="24">
        <v>244</v>
      </c>
      <c r="B247" s="2" t="s">
        <v>383</v>
      </c>
      <c r="C247" s="8">
        <v>73</v>
      </c>
      <c r="D247" s="8">
        <v>2</v>
      </c>
      <c r="E247" s="12">
        <v>6</v>
      </c>
      <c r="F247" s="3">
        <v>22</v>
      </c>
      <c r="G247" s="13" t="s">
        <v>112</v>
      </c>
      <c r="H247" s="1" t="s">
        <v>386</v>
      </c>
      <c r="I247" s="3" t="s">
        <v>133</v>
      </c>
      <c r="J247" s="3" t="s">
        <v>688</v>
      </c>
      <c r="K247" s="108" t="s">
        <v>387</v>
      </c>
      <c r="L247" s="23">
        <v>50</v>
      </c>
      <c r="M247" s="1" t="s">
        <v>381</v>
      </c>
      <c r="N247" s="1">
        <v>2013</v>
      </c>
      <c r="O247" s="13" t="s">
        <v>380</v>
      </c>
      <c r="Z247" s="34"/>
      <c r="AA247" s="34"/>
      <c r="AB247" s="34"/>
      <c r="AC247" s="34"/>
    </row>
    <row r="248" spans="1:29" x14ac:dyDescent="0.15">
      <c r="A248" s="24">
        <v>245</v>
      </c>
      <c r="B248" s="2" t="s">
        <v>384</v>
      </c>
      <c r="C248" s="8">
        <v>219</v>
      </c>
      <c r="D248" s="8">
        <v>13</v>
      </c>
      <c r="E248" s="12">
        <v>6</v>
      </c>
      <c r="F248" s="3">
        <v>22</v>
      </c>
      <c r="G248" s="13" t="s">
        <v>112</v>
      </c>
      <c r="H248" s="1" t="s">
        <v>386</v>
      </c>
      <c r="I248" s="3" t="s">
        <v>133</v>
      </c>
      <c r="J248" s="3" t="s">
        <v>688</v>
      </c>
      <c r="K248" s="108" t="s">
        <v>387</v>
      </c>
      <c r="L248" s="23">
        <v>50</v>
      </c>
      <c r="M248" s="1" t="s">
        <v>381</v>
      </c>
      <c r="N248" s="1">
        <v>2013</v>
      </c>
      <c r="O248" s="13" t="s">
        <v>380</v>
      </c>
      <c r="Z248" s="34"/>
      <c r="AA248" s="34"/>
      <c r="AB248" s="34"/>
    </row>
    <row r="249" spans="1:29" x14ac:dyDescent="0.15">
      <c r="A249" s="24">
        <v>246</v>
      </c>
      <c r="B249" s="2" t="s">
        <v>385</v>
      </c>
      <c r="C249" s="8">
        <v>28</v>
      </c>
      <c r="D249" s="8">
        <v>2</v>
      </c>
      <c r="E249" s="12">
        <v>6</v>
      </c>
      <c r="F249" s="3">
        <v>22</v>
      </c>
      <c r="G249" s="13" t="s">
        <v>112</v>
      </c>
      <c r="H249" s="1" t="s">
        <v>386</v>
      </c>
      <c r="I249" s="3" t="s">
        <v>133</v>
      </c>
      <c r="J249" s="3" t="s">
        <v>688</v>
      </c>
      <c r="K249" s="108" t="s">
        <v>387</v>
      </c>
      <c r="L249" s="23">
        <v>50</v>
      </c>
      <c r="M249" s="1" t="s">
        <v>381</v>
      </c>
      <c r="N249" s="1">
        <v>2013</v>
      </c>
      <c r="O249" s="13" t="s">
        <v>380</v>
      </c>
      <c r="Z249" s="34"/>
      <c r="AA249" s="34"/>
      <c r="AB249" s="34"/>
    </row>
    <row r="250" spans="1:29" x14ac:dyDescent="0.15">
      <c r="A250" s="24">
        <v>247</v>
      </c>
      <c r="B250" s="2" t="s">
        <v>390</v>
      </c>
      <c r="C250" s="6">
        <f>10^AVERAGE(0.98,0.92,0.89)</f>
        <v>8.5113803820237681</v>
      </c>
      <c r="D250" s="6">
        <f>STDEV(0.98,0.92,0.89)/AVERAGE(0.98,0.92,0.89)*C250</f>
        <v>0.41939833192673176</v>
      </c>
      <c r="E250" s="12">
        <v>7</v>
      </c>
      <c r="F250" s="3">
        <v>20</v>
      </c>
      <c r="G250" s="13" t="s">
        <v>689</v>
      </c>
      <c r="H250" s="1" t="s">
        <v>298</v>
      </c>
      <c r="I250" s="3" t="s">
        <v>133</v>
      </c>
      <c r="J250" s="5">
        <f>K250/(0.0002/357.8)</f>
        <v>12.455063291139242</v>
      </c>
      <c r="K250" s="109">
        <f>0.0011/158</f>
        <v>6.9620253164556965E-6</v>
      </c>
      <c r="L250" s="23">
        <v>51</v>
      </c>
      <c r="M250" s="1" t="s">
        <v>388</v>
      </c>
      <c r="N250" s="1">
        <v>2013</v>
      </c>
      <c r="O250" s="13" t="s">
        <v>389</v>
      </c>
    </row>
    <row r="251" spans="1:29" x14ac:dyDescent="0.15">
      <c r="A251" s="24">
        <v>248</v>
      </c>
      <c r="B251" s="2" t="s">
        <v>319</v>
      </c>
      <c r="C251" s="6">
        <f>10^AVERAGE(0.37,0.29,0.41)</f>
        <v>2.2733518989206303</v>
      </c>
      <c r="D251" s="6">
        <f>STDEV(0.37,0.29,0.41)/AVERAGE(0.37,0.29,0.41)*C251</f>
        <v>0.38945073488132459</v>
      </c>
      <c r="E251" s="12">
        <v>7</v>
      </c>
      <c r="F251" s="3">
        <v>20</v>
      </c>
      <c r="G251" s="13" t="s">
        <v>689</v>
      </c>
      <c r="H251" s="1" t="s">
        <v>298</v>
      </c>
      <c r="I251" s="3" t="s">
        <v>133</v>
      </c>
      <c r="J251" s="5">
        <f>K251/(0.0002/318.1)</f>
        <v>11.073101265822785</v>
      </c>
      <c r="K251" s="109">
        <f>0.0011/158</f>
        <v>6.9620253164556965E-6</v>
      </c>
      <c r="L251" s="23">
        <v>51</v>
      </c>
      <c r="M251" s="1" t="s">
        <v>388</v>
      </c>
      <c r="N251" s="1">
        <v>2013</v>
      </c>
      <c r="O251" s="13" t="s">
        <v>389</v>
      </c>
    </row>
    <row r="252" spans="1:29" x14ac:dyDescent="0.15">
      <c r="A252" s="24">
        <v>249</v>
      </c>
      <c r="B252" s="2" t="s">
        <v>690</v>
      </c>
      <c r="C252" s="5">
        <v>140</v>
      </c>
      <c r="D252" s="5">
        <v>20</v>
      </c>
      <c r="E252" s="12">
        <v>7.5</v>
      </c>
      <c r="F252" s="3">
        <v>25</v>
      </c>
      <c r="G252" s="13" t="s">
        <v>393</v>
      </c>
      <c r="H252" s="1" t="s">
        <v>185</v>
      </c>
      <c r="I252" s="3" t="s">
        <v>133</v>
      </c>
      <c r="J252" s="5">
        <f>181/2.1</f>
        <v>86.19047619047619</v>
      </c>
      <c r="K252" s="3">
        <v>1.8100000000000001E-4</v>
      </c>
      <c r="L252" s="23">
        <v>52</v>
      </c>
      <c r="M252" s="1" t="s">
        <v>392</v>
      </c>
      <c r="N252" s="1">
        <v>2013</v>
      </c>
      <c r="O252" s="13" t="s">
        <v>391</v>
      </c>
    </row>
    <row r="253" spans="1:29" x14ac:dyDescent="0.15">
      <c r="A253" s="24">
        <v>250</v>
      </c>
      <c r="B253" s="2" t="s">
        <v>15</v>
      </c>
      <c r="C253" s="8">
        <v>21.7</v>
      </c>
      <c r="D253" s="6"/>
      <c r="E253" s="12">
        <v>7.5</v>
      </c>
      <c r="F253" s="3">
        <v>25</v>
      </c>
      <c r="G253" s="13" t="s">
        <v>401</v>
      </c>
      <c r="H253" s="1" t="s">
        <v>185</v>
      </c>
      <c r="I253" s="3" t="s">
        <v>133</v>
      </c>
      <c r="J253" s="3">
        <v>18.100000000000001</v>
      </c>
      <c r="K253" s="3">
        <v>1.8100000000000001E-4</v>
      </c>
      <c r="L253" s="23">
        <v>53</v>
      </c>
      <c r="M253" s="1" t="s">
        <v>392</v>
      </c>
      <c r="N253" s="1">
        <v>2013</v>
      </c>
      <c r="O253" s="13" t="s">
        <v>394</v>
      </c>
    </row>
    <row r="254" spans="1:29" x14ac:dyDescent="0.15">
      <c r="A254" s="24">
        <v>251</v>
      </c>
      <c r="B254" s="2" t="s">
        <v>690</v>
      </c>
      <c r="C254" s="8">
        <v>130.4</v>
      </c>
      <c r="D254" s="8"/>
      <c r="E254" s="12">
        <v>7.5</v>
      </c>
      <c r="F254" s="3">
        <v>25</v>
      </c>
      <c r="G254" s="13" t="s">
        <v>401</v>
      </c>
      <c r="H254" s="1" t="s">
        <v>185</v>
      </c>
      <c r="I254" s="3" t="s">
        <v>133</v>
      </c>
      <c r="J254" s="8">
        <f>181/8.4</f>
        <v>21.547619047619047</v>
      </c>
      <c r="K254" s="3">
        <v>1.8100000000000001E-4</v>
      </c>
      <c r="L254" s="23">
        <v>53</v>
      </c>
      <c r="M254" s="1" t="s">
        <v>392</v>
      </c>
      <c r="N254" s="1">
        <v>2013</v>
      </c>
      <c r="O254" s="13" t="s">
        <v>394</v>
      </c>
    </row>
    <row r="255" spans="1:29" x14ac:dyDescent="0.15">
      <c r="A255" s="24">
        <v>252</v>
      </c>
      <c r="B255" s="2" t="s">
        <v>396</v>
      </c>
      <c r="C255" s="8">
        <v>37</v>
      </c>
      <c r="D255" s="5">
        <v>4</v>
      </c>
      <c r="E255" s="12">
        <v>7</v>
      </c>
      <c r="F255" s="3">
        <v>25</v>
      </c>
      <c r="G255" s="13" t="s">
        <v>401</v>
      </c>
      <c r="H255" s="1" t="s">
        <v>185</v>
      </c>
      <c r="I255" s="3" t="s">
        <v>133</v>
      </c>
      <c r="J255" s="3" t="s">
        <v>403</v>
      </c>
      <c r="K255" s="3" t="s">
        <v>402</v>
      </c>
      <c r="L255" s="23">
        <v>54</v>
      </c>
      <c r="M255" s="1" t="s">
        <v>285</v>
      </c>
      <c r="N255" s="1">
        <v>2014</v>
      </c>
      <c r="O255" s="13" t="s">
        <v>395</v>
      </c>
    </row>
    <row r="256" spans="1:29" x14ac:dyDescent="0.15">
      <c r="A256" s="24">
        <v>253</v>
      </c>
      <c r="B256" s="2" t="s">
        <v>397</v>
      </c>
      <c r="C256" s="6">
        <v>3</v>
      </c>
      <c r="D256" s="5">
        <v>2</v>
      </c>
      <c r="E256" s="12">
        <v>7</v>
      </c>
      <c r="F256" s="3">
        <v>25</v>
      </c>
      <c r="G256" s="13" t="s">
        <v>401</v>
      </c>
      <c r="H256" s="1" t="s">
        <v>185</v>
      </c>
      <c r="I256" s="3" t="s">
        <v>133</v>
      </c>
      <c r="J256" s="3" t="s">
        <v>403</v>
      </c>
      <c r="K256" s="3" t="s">
        <v>402</v>
      </c>
      <c r="L256" s="23">
        <v>54</v>
      </c>
      <c r="M256" s="1" t="s">
        <v>285</v>
      </c>
      <c r="N256" s="1">
        <v>2014</v>
      </c>
      <c r="O256" s="13" t="s">
        <v>395</v>
      </c>
    </row>
    <row r="257" spans="1:15" x14ac:dyDescent="0.15">
      <c r="A257" s="24">
        <v>254</v>
      </c>
      <c r="B257" s="2" t="s">
        <v>398</v>
      </c>
      <c r="C257" s="6">
        <v>9</v>
      </c>
      <c r="D257" s="5">
        <v>4</v>
      </c>
      <c r="E257" s="12">
        <v>7</v>
      </c>
      <c r="F257" s="3">
        <v>25</v>
      </c>
      <c r="G257" s="13" t="s">
        <v>401</v>
      </c>
      <c r="H257" s="1" t="s">
        <v>185</v>
      </c>
      <c r="I257" s="3" t="s">
        <v>133</v>
      </c>
      <c r="J257" s="3" t="s">
        <v>403</v>
      </c>
      <c r="K257" s="3" t="s">
        <v>402</v>
      </c>
      <c r="L257" s="23">
        <v>54</v>
      </c>
      <c r="M257" s="1" t="s">
        <v>285</v>
      </c>
      <c r="N257" s="1">
        <v>2014</v>
      </c>
      <c r="O257" s="13" t="s">
        <v>395</v>
      </c>
    </row>
    <row r="258" spans="1:15" x14ac:dyDescent="0.15">
      <c r="A258" s="24">
        <v>255</v>
      </c>
      <c r="B258" s="2" t="s">
        <v>399</v>
      </c>
      <c r="C258" s="8">
        <v>17</v>
      </c>
      <c r="D258" s="5">
        <v>4</v>
      </c>
      <c r="E258" s="12">
        <v>7</v>
      </c>
      <c r="F258" s="3">
        <v>25</v>
      </c>
      <c r="G258" s="13" t="s">
        <v>401</v>
      </c>
      <c r="H258" s="1" t="s">
        <v>185</v>
      </c>
      <c r="I258" s="3" t="s">
        <v>133</v>
      </c>
      <c r="J258" s="3" t="s">
        <v>403</v>
      </c>
      <c r="K258" s="3" t="s">
        <v>402</v>
      </c>
      <c r="L258" s="23">
        <v>54</v>
      </c>
      <c r="M258" s="1" t="s">
        <v>285</v>
      </c>
      <c r="N258" s="1">
        <v>2014</v>
      </c>
      <c r="O258" s="13" t="s">
        <v>395</v>
      </c>
    </row>
    <row r="259" spans="1:15" x14ac:dyDescent="0.15">
      <c r="A259" s="24">
        <v>256</v>
      </c>
      <c r="B259" s="2" t="s">
        <v>400</v>
      </c>
      <c r="C259" s="8">
        <v>49</v>
      </c>
      <c r="D259" s="5">
        <v>4</v>
      </c>
      <c r="E259" s="12">
        <v>7</v>
      </c>
      <c r="F259" s="3">
        <v>25</v>
      </c>
      <c r="G259" s="13" t="s">
        <v>401</v>
      </c>
      <c r="H259" s="1" t="s">
        <v>185</v>
      </c>
      <c r="I259" s="3" t="s">
        <v>133</v>
      </c>
      <c r="J259" s="3" t="s">
        <v>403</v>
      </c>
      <c r="K259" s="3" t="s">
        <v>402</v>
      </c>
      <c r="L259" s="23">
        <v>54</v>
      </c>
      <c r="M259" s="1" t="s">
        <v>285</v>
      </c>
      <c r="N259" s="1">
        <v>2014</v>
      </c>
      <c r="O259" s="13" t="s">
        <v>395</v>
      </c>
    </row>
    <row r="260" spans="1:15" x14ac:dyDescent="0.15">
      <c r="A260" s="24">
        <v>257</v>
      </c>
      <c r="B260" s="2" t="s">
        <v>607</v>
      </c>
      <c r="C260" s="6">
        <v>0.8</v>
      </c>
      <c r="D260" s="6"/>
      <c r="E260" s="12" t="s">
        <v>409</v>
      </c>
      <c r="F260" s="3">
        <v>21</v>
      </c>
      <c r="G260" s="13" t="s">
        <v>75</v>
      </c>
      <c r="H260" s="1" t="s">
        <v>406</v>
      </c>
      <c r="I260" s="3" t="s">
        <v>407</v>
      </c>
      <c r="J260" s="3" t="s">
        <v>408</v>
      </c>
      <c r="K260" s="3" t="s">
        <v>408</v>
      </c>
      <c r="L260" s="23">
        <v>55</v>
      </c>
      <c r="M260" s="1" t="s">
        <v>405</v>
      </c>
      <c r="N260" s="1">
        <v>2014</v>
      </c>
      <c r="O260" s="13" t="s">
        <v>404</v>
      </c>
    </row>
    <row r="261" spans="1:15" x14ac:dyDescent="0.15">
      <c r="A261" s="24">
        <v>258</v>
      </c>
      <c r="B261" s="2" t="s">
        <v>122</v>
      </c>
      <c r="C261" s="4">
        <v>2.5000000000000001E-4</v>
      </c>
      <c r="D261" s="4"/>
      <c r="E261" s="12" t="s">
        <v>410</v>
      </c>
      <c r="F261" s="3">
        <v>21</v>
      </c>
      <c r="G261" s="13" t="s">
        <v>75</v>
      </c>
      <c r="H261" s="1" t="s">
        <v>406</v>
      </c>
      <c r="I261" s="3" t="s">
        <v>407</v>
      </c>
      <c r="J261" s="3" t="s">
        <v>408</v>
      </c>
      <c r="K261" s="3" t="s">
        <v>408</v>
      </c>
      <c r="L261" s="23">
        <v>55</v>
      </c>
      <c r="M261" s="1" t="s">
        <v>405</v>
      </c>
      <c r="N261" s="1">
        <v>2014</v>
      </c>
      <c r="O261" s="13" t="s">
        <v>404</v>
      </c>
    </row>
    <row r="262" spans="1:15" x14ac:dyDescent="0.15">
      <c r="A262" s="24">
        <v>259</v>
      </c>
      <c r="B262" s="2" t="s">
        <v>69</v>
      </c>
      <c r="C262" s="4">
        <v>6.4999999999999997E-4</v>
      </c>
      <c r="D262" s="4"/>
      <c r="E262" s="12" t="s">
        <v>411</v>
      </c>
      <c r="F262" s="3">
        <v>21</v>
      </c>
      <c r="G262" s="13" t="s">
        <v>75</v>
      </c>
      <c r="H262" s="1" t="s">
        <v>406</v>
      </c>
      <c r="I262" s="3" t="s">
        <v>407</v>
      </c>
      <c r="J262" s="3" t="s">
        <v>408</v>
      </c>
      <c r="K262" s="3" t="s">
        <v>408</v>
      </c>
      <c r="L262" s="23">
        <v>55</v>
      </c>
      <c r="M262" s="1" t="s">
        <v>405</v>
      </c>
      <c r="N262" s="1">
        <v>2014</v>
      </c>
      <c r="O262" s="13" t="s">
        <v>404</v>
      </c>
    </row>
    <row r="263" spans="1:15" x14ac:dyDescent="0.15">
      <c r="A263" s="24">
        <v>260</v>
      </c>
      <c r="B263" s="2" t="s">
        <v>414</v>
      </c>
      <c r="C263" s="5">
        <v>460</v>
      </c>
      <c r="D263" s="5"/>
      <c r="E263" s="12">
        <v>7</v>
      </c>
      <c r="F263" s="3">
        <v>25</v>
      </c>
      <c r="G263" s="13" t="s">
        <v>401</v>
      </c>
      <c r="H263" s="1" t="s">
        <v>185</v>
      </c>
      <c r="I263" s="3" t="s">
        <v>133</v>
      </c>
      <c r="J263" s="3" t="s">
        <v>75</v>
      </c>
      <c r="K263" s="3" t="s">
        <v>416</v>
      </c>
      <c r="L263" s="23">
        <v>56</v>
      </c>
      <c r="M263" s="1" t="s">
        <v>413</v>
      </c>
      <c r="N263" s="1">
        <v>2014</v>
      </c>
      <c r="O263" s="13" t="s">
        <v>412</v>
      </c>
    </row>
    <row r="264" spans="1:15" x14ac:dyDescent="0.15">
      <c r="A264" s="24">
        <v>261</v>
      </c>
      <c r="B264" s="2" t="s">
        <v>319</v>
      </c>
      <c r="C264" s="6">
        <v>1.57</v>
      </c>
      <c r="D264" s="6">
        <v>0.02</v>
      </c>
      <c r="E264" s="12">
        <v>7</v>
      </c>
      <c r="F264" s="3">
        <v>20</v>
      </c>
      <c r="G264" s="13" t="s">
        <v>393</v>
      </c>
      <c r="H264" s="1" t="s">
        <v>185</v>
      </c>
      <c r="I264" s="3" t="s">
        <v>133</v>
      </c>
      <c r="J264" s="3" t="s">
        <v>489</v>
      </c>
      <c r="K264" s="3" t="s">
        <v>419</v>
      </c>
      <c r="L264" s="23">
        <v>57</v>
      </c>
      <c r="M264" s="1" t="s">
        <v>417</v>
      </c>
      <c r="N264" s="1">
        <v>2015</v>
      </c>
      <c r="O264" s="13" t="s">
        <v>418</v>
      </c>
    </row>
    <row r="265" spans="1:15" x14ac:dyDescent="0.15">
      <c r="A265" s="24">
        <v>262</v>
      </c>
      <c r="B265" s="2" t="s">
        <v>607</v>
      </c>
      <c r="C265" s="6">
        <f>AVERAGE(0.61,0.96,1.21)</f>
        <v>0.92666666666666664</v>
      </c>
      <c r="D265" s="6"/>
      <c r="E265" s="12">
        <v>5.6</v>
      </c>
      <c r="F265" s="3" t="s">
        <v>75</v>
      </c>
      <c r="G265" s="13" t="s">
        <v>148</v>
      </c>
      <c r="H265" s="1" t="s">
        <v>142</v>
      </c>
      <c r="I265" s="3" t="s">
        <v>133</v>
      </c>
      <c r="J265" s="3" t="s">
        <v>255</v>
      </c>
      <c r="K265" s="3" t="s">
        <v>422</v>
      </c>
      <c r="L265" s="23">
        <v>58</v>
      </c>
      <c r="M265" s="1" t="s">
        <v>420</v>
      </c>
      <c r="N265" s="1">
        <v>2015</v>
      </c>
      <c r="O265" s="13" t="s">
        <v>421</v>
      </c>
    </row>
    <row r="266" spans="1:15" x14ac:dyDescent="0.15">
      <c r="A266" s="24">
        <v>263</v>
      </c>
      <c r="B266" s="2" t="s">
        <v>424</v>
      </c>
      <c r="C266" s="5">
        <f>AVERAGE(308,268,273)</f>
        <v>283</v>
      </c>
      <c r="D266" s="6"/>
      <c r="E266" s="12">
        <v>7</v>
      </c>
      <c r="F266" s="3">
        <v>20</v>
      </c>
      <c r="G266" s="13" t="s">
        <v>689</v>
      </c>
      <c r="H266" s="1" t="s">
        <v>298</v>
      </c>
      <c r="I266" s="3" t="s">
        <v>133</v>
      </c>
      <c r="J266" s="8">
        <f>K266/(0.0002/239.2)</f>
        <v>8.3719999999999981</v>
      </c>
      <c r="K266" s="3">
        <v>6.9999999999999999E-6</v>
      </c>
      <c r="L266" s="23">
        <v>59</v>
      </c>
      <c r="M266" s="1" t="s">
        <v>388</v>
      </c>
      <c r="N266" s="1">
        <v>2015</v>
      </c>
      <c r="O266" s="13" t="s">
        <v>423</v>
      </c>
    </row>
    <row r="267" spans="1:15" x14ac:dyDescent="0.15">
      <c r="A267" s="24">
        <v>264</v>
      </c>
      <c r="B267" s="2" t="s">
        <v>286</v>
      </c>
      <c r="C267" s="5">
        <f>-LN(1/100)/120/((0.02/289.5)*2.5)</f>
        <v>222.19946147392537</v>
      </c>
      <c r="D267" s="96">
        <f>0.02/289.5*2.5</f>
        <v>1.7271157167530226E-4</v>
      </c>
      <c r="E267" s="12">
        <v>8</v>
      </c>
      <c r="F267" s="3">
        <v>25</v>
      </c>
      <c r="G267" s="13" t="s">
        <v>75</v>
      </c>
      <c r="H267" s="1" t="s">
        <v>185</v>
      </c>
      <c r="I267" s="3" t="s">
        <v>133</v>
      </c>
      <c r="J267" s="3">
        <v>2.5</v>
      </c>
      <c r="K267" s="3">
        <v>1.7000000000000001E-4</v>
      </c>
      <c r="L267" s="23">
        <v>60</v>
      </c>
      <c r="M267" s="1" t="s">
        <v>217</v>
      </c>
      <c r="N267" s="1">
        <v>2016</v>
      </c>
      <c r="O267" s="13" t="s">
        <v>425</v>
      </c>
    </row>
    <row r="268" spans="1:15" x14ac:dyDescent="0.15">
      <c r="A268" s="24">
        <v>265</v>
      </c>
      <c r="B268" s="2" t="s">
        <v>321</v>
      </c>
      <c r="C268" s="6">
        <v>0.63</v>
      </c>
      <c r="D268" s="6">
        <v>0.3</v>
      </c>
      <c r="E268" s="12">
        <v>7</v>
      </c>
      <c r="F268" s="3">
        <v>21</v>
      </c>
      <c r="G268" s="13" t="s">
        <v>430</v>
      </c>
      <c r="H268" s="1" t="s">
        <v>376</v>
      </c>
      <c r="I268" s="3" t="s">
        <v>133</v>
      </c>
      <c r="J268" s="3" t="s">
        <v>428</v>
      </c>
      <c r="K268" s="3" t="s">
        <v>429</v>
      </c>
      <c r="L268" s="23">
        <v>61</v>
      </c>
      <c r="M268" s="1" t="s">
        <v>427</v>
      </c>
      <c r="N268" s="1">
        <v>2016</v>
      </c>
      <c r="O268" s="13" t="s">
        <v>426</v>
      </c>
    </row>
    <row r="269" spans="1:15" x14ac:dyDescent="0.15">
      <c r="A269" s="24">
        <v>266</v>
      </c>
      <c r="B269" s="2" t="s">
        <v>433</v>
      </c>
      <c r="C269" s="7">
        <v>3.2000000000000001E-2</v>
      </c>
      <c r="D269" s="7"/>
      <c r="E269" s="12">
        <v>7</v>
      </c>
      <c r="F269" s="3">
        <v>20</v>
      </c>
      <c r="G269" s="13" t="s">
        <v>401</v>
      </c>
      <c r="H269" s="1" t="s">
        <v>185</v>
      </c>
      <c r="I269" s="3" t="s">
        <v>133</v>
      </c>
      <c r="J269" s="3">
        <f>0.01/0.000005</f>
        <v>1999.9999999999998</v>
      </c>
      <c r="K269" s="3">
        <v>0.01</v>
      </c>
      <c r="L269" s="23">
        <v>62</v>
      </c>
      <c r="M269" s="1" t="s">
        <v>431</v>
      </c>
      <c r="N269" s="1">
        <v>2017</v>
      </c>
      <c r="O269" s="13" t="s">
        <v>432</v>
      </c>
    </row>
    <row r="270" spans="1:15" x14ac:dyDescent="0.15">
      <c r="A270" s="24">
        <v>267</v>
      </c>
      <c r="B270" s="2" t="s">
        <v>261</v>
      </c>
      <c r="C270" s="5">
        <v>289.89999999999998</v>
      </c>
      <c r="D270" s="5"/>
      <c r="E270" s="12">
        <v>5.6</v>
      </c>
      <c r="F270" s="3">
        <v>23</v>
      </c>
      <c r="G270" s="13" t="s">
        <v>148</v>
      </c>
      <c r="H270" s="1" t="s">
        <v>437</v>
      </c>
      <c r="I270" s="3" t="s">
        <v>133</v>
      </c>
      <c r="J270" s="3" t="s">
        <v>691</v>
      </c>
      <c r="K270" s="3" t="s">
        <v>436</v>
      </c>
      <c r="L270" s="23">
        <v>63</v>
      </c>
      <c r="M270" s="1" t="s">
        <v>434</v>
      </c>
      <c r="N270" s="1">
        <v>2017</v>
      </c>
      <c r="O270" s="13" t="s">
        <v>435</v>
      </c>
    </row>
    <row r="271" spans="1:15" x14ac:dyDescent="0.15">
      <c r="A271" s="24">
        <v>268</v>
      </c>
      <c r="B271" s="2" t="s">
        <v>440</v>
      </c>
      <c r="C271" s="4">
        <f>0.028/0.05/60/60</f>
        <v>1.5555555555555554E-4</v>
      </c>
      <c r="D271" s="4">
        <f>0.002/0.028*C271</f>
        <v>1.1111111111111108E-5</v>
      </c>
      <c r="E271" s="12">
        <v>7.2</v>
      </c>
      <c r="F271" s="3" t="s">
        <v>75</v>
      </c>
      <c r="G271" s="13" t="s">
        <v>612</v>
      </c>
      <c r="H271" s="1" t="s">
        <v>23</v>
      </c>
      <c r="I271" s="3" t="s">
        <v>133</v>
      </c>
      <c r="J271" s="3">
        <v>38.5</v>
      </c>
      <c r="K271" s="3">
        <v>0.05</v>
      </c>
      <c r="L271" s="23">
        <v>64</v>
      </c>
      <c r="M271" s="1" t="s">
        <v>438</v>
      </c>
      <c r="N271" s="1">
        <v>2017</v>
      </c>
      <c r="O271" s="13" t="s">
        <v>439</v>
      </c>
    </row>
    <row r="272" spans="1:15" x14ac:dyDescent="0.15">
      <c r="A272" s="24">
        <v>269</v>
      </c>
      <c r="B272" s="2" t="s">
        <v>310</v>
      </c>
      <c r="C272" s="6">
        <v>3.9</v>
      </c>
      <c r="D272" s="6"/>
      <c r="E272" s="12">
        <v>7.5</v>
      </c>
      <c r="F272" s="3">
        <v>20</v>
      </c>
      <c r="G272" s="13" t="s">
        <v>442</v>
      </c>
      <c r="H272" s="1" t="s">
        <v>298</v>
      </c>
      <c r="I272" s="3" t="s">
        <v>133</v>
      </c>
      <c r="J272" s="3" t="s">
        <v>444</v>
      </c>
      <c r="K272" s="3" t="s">
        <v>443</v>
      </c>
      <c r="L272" s="23">
        <v>65</v>
      </c>
      <c r="M272" s="1" t="s">
        <v>427</v>
      </c>
      <c r="N272" s="1">
        <v>2017</v>
      </c>
      <c r="O272" s="13" t="s">
        <v>441</v>
      </c>
    </row>
    <row r="273" spans="1:15" x14ac:dyDescent="0.15">
      <c r="A273" s="24">
        <v>270</v>
      </c>
      <c r="B273" s="2" t="s">
        <v>218</v>
      </c>
      <c r="C273" s="5">
        <v>520.1</v>
      </c>
      <c r="D273" s="5">
        <v>8.6</v>
      </c>
      <c r="E273" s="12">
        <v>7.2</v>
      </c>
      <c r="F273" s="3">
        <v>21</v>
      </c>
      <c r="G273" s="13" t="s">
        <v>262</v>
      </c>
      <c r="H273" s="1" t="s">
        <v>298</v>
      </c>
      <c r="I273" s="3" t="s">
        <v>133</v>
      </c>
      <c r="J273" s="3" t="s">
        <v>29</v>
      </c>
      <c r="K273" s="3" t="s">
        <v>447</v>
      </c>
      <c r="L273" s="23">
        <v>66</v>
      </c>
      <c r="M273" s="1" t="s">
        <v>445</v>
      </c>
      <c r="N273" s="1">
        <v>2018</v>
      </c>
      <c r="O273" s="13" t="s">
        <v>446</v>
      </c>
    </row>
    <row r="274" spans="1:15" x14ac:dyDescent="0.15">
      <c r="A274" s="24">
        <v>271</v>
      </c>
      <c r="B274" s="2" t="s">
        <v>261</v>
      </c>
      <c r="C274" s="5">
        <v>386.2</v>
      </c>
      <c r="D274" s="5">
        <v>0.4</v>
      </c>
      <c r="E274" s="12">
        <v>7.2</v>
      </c>
      <c r="F274" s="3">
        <v>21</v>
      </c>
      <c r="G274" s="13" t="s">
        <v>262</v>
      </c>
      <c r="H274" s="1" t="s">
        <v>298</v>
      </c>
      <c r="I274" s="3" t="s">
        <v>133</v>
      </c>
      <c r="J274" s="3" t="s">
        <v>29</v>
      </c>
      <c r="K274" s="3" t="s">
        <v>447</v>
      </c>
      <c r="L274" s="23">
        <v>66</v>
      </c>
      <c r="M274" s="1" t="s">
        <v>445</v>
      </c>
      <c r="N274" s="1">
        <v>2018</v>
      </c>
      <c r="O274" s="13" t="s">
        <v>446</v>
      </c>
    </row>
    <row r="275" spans="1:15" x14ac:dyDescent="0.15">
      <c r="A275" s="24">
        <v>272</v>
      </c>
      <c r="B275" s="2" t="s">
        <v>265</v>
      </c>
      <c r="C275" s="5">
        <v>382.1</v>
      </c>
      <c r="D275" s="5">
        <v>1.2</v>
      </c>
      <c r="E275" s="12">
        <v>7.2</v>
      </c>
      <c r="F275" s="3">
        <v>21</v>
      </c>
      <c r="G275" s="13" t="s">
        <v>262</v>
      </c>
      <c r="H275" s="1" t="s">
        <v>298</v>
      </c>
      <c r="I275" s="3" t="s">
        <v>133</v>
      </c>
      <c r="J275" s="3" t="s">
        <v>29</v>
      </c>
      <c r="K275" s="3" t="s">
        <v>447</v>
      </c>
      <c r="L275" s="23">
        <v>66</v>
      </c>
      <c r="M275" s="1" t="s">
        <v>445</v>
      </c>
      <c r="N275" s="1">
        <v>2018</v>
      </c>
      <c r="O275" s="13" t="s">
        <v>446</v>
      </c>
    </row>
    <row r="276" spans="1:15" x14ac:dyDescent="0.15">
      <c r="A276" s="24">
        <v>273</v>
      </c>
      <c r="B276" s="2" t="s">
        <v>296</v>
      </c>
      <c r="C276" s="5">
        <v>213.4</v>
      </c>
      <c r="D276" s="5">
        <v>0.3</v>
      </c>
      <c r="E276" s="12">
        <v>7.2</v>
      </c>
      <c r="F276" s="3">
        <v>21</v>
      </c>
      <c r="G276" s="13" t="s">
        <v>262</v>
      </c>
      <c r="H276" s="1" t="s">
        <v>298</v>
      </c>
      <c r="I276" s="3" t="s">
        <v>133</v>
      </c>
      <c r="J276" s="3" t="s">
        <v>29</v>
      </c>
      <c r="K276" s="3" t="s">
        <v>447</v>
      </c>
      <c r="L276" s="23">
        <v>66</v>
      </c>
      <c r="M276" s="1" t="s">
        <v>445</v>
      </c>
      <c r="N276" s="1">
        <v>2018</v>
      </c>
      <c r="O276" s="13" t="s">
        <v>446</v>
      </c>
    </row>
    <row r="277" spans="1:15" x14ac:dyDescent="0.15">
      <c r="A277" s="24">
        <v>274</v>
      </c>
      <c r="B277" s="2" t="s">
        <v>297</v>
      </c>
      <c r="C277" s="5">
        <v>201.7</v>
      </c>
      <c r="D277" s="5">
        <v>2.6</v>
      </c>
      <c r="E277" s="12">
        <v>7.2</v>
      </c>
      <c r="F277" s="3">
        <v>21</v>
      </c>
      <c r="G277" s="13" t="s">
        <v>262</v>
      </c>
      <c r="H277" s="1" t="s">
        <v>298</v>
      </c>
      <c r="I277" s="3" t="s">
        <v>133</v>
      </c>
      <c r="J277" s="3" t="s">
        <v>29</v>
      </c>
      <c r="K277" s="3" t="s">
        <v>447</v>
      </c>
      <c r="L277" s="23">
        <v>66</v>
      </c>
      <c r="M277" s="1" t="s">
        <v>445</v>
      </c>
      <c r="N277" s="1">
        <v>2018</v>
      </c>
      <c r="O277" s="13" t="s">
        <v>446</v>
      </c>
    </row>
    <row r="278" spans="1:15" x14ac:dyDescent="0.15">
      <c r="A278" s="24">
        <v>275</v>
      </c>
      <c r="B278" s="2" t="s">
        <v>295</v>
      </c>
      <c r="C278" s="5">
        <v>160.4</v>
      </c>
      <c r="D278" s="5">
        <v>1.3</v>
      </c>
      <c r="E278" s="12">
        <v>7.2</v>
      </c>
      <c r="F278" s="3">
        <v>21</v>
      </c>
      <c r="G278" s="13" t="s">
        <v>262</v>
      </c>
      <c r="H278" s="1" t="s">
        <v>298</v>
      </c>
      <c r="I278" s="3" t="s">
        <v>133</v>
      </c>
      <c r="J278" s="3" t="s">
        <v>29</v>
      </c>
      <c r="K278" s="3" t="s">
        <v>447</v>
      </c>
      <c r="L278" s="23">
        <v>66</v>
      </c>
      <c r="M278" s="1" t="s">
        <v>445</v>
      </c>
      <c r="N278" s="1">
        <v>2018</v>
      </c>
      <c r="O278" s="13" t="s">
        <v>446</v>
      </c>
    </row>
    <row r="279" spans="1:15" x14ac:dyDescent="0.15">
      <c r="A279" s="24">
        <v>276</v>
      </c>
      <c r="B279" s="2" t="s">
        <v>450</v>
      </c>
      <c r="C279" s="6">
        <v>0.35</v>
      </c>
      <c r="D279" s="6">
        <v>5.0999999999999997E-2</v>
      </c>
      <c r="E279" s="12">
        <v>7</v>
      </c>
      <c r="F279" s="3">
        <v>25</v>
      </c>
      <c r="G279" s="13" t="s">
        <v>452</v>
      </c>
      <c r="H279" s="1" t="s">
        <v>185</v>
      </c>
      <c r="I279" s="3" t="s">
        <v>133</v>
      </c>
      <c r="J279" s="3" t="s">
        <v>97</v>
      </c>
      <c r="K279" s="3" t="s">
        <v>453</v>
      </c>
      <c r="L279" s="23">
        <v>67</v>
      </c>
      <c r="M279" s="1" t="s">
        <v>449</v>
      </c>
      <c r="N279" s="1">
        <v>2018</v>
      </c>
      <c r="O279" s="13" t="s">
        <v>448</v>
      </c>
    </row>
    <row r="280" spans="1:15" x14ac:dyDescent="0.15">
      <c r="A280" s="24">
        <v>277</v>
      </c>
      <c r="B280" s="2" t="s">
        <v>396</v>
      </c>
      <c r="C280" s="8">
        <v>23</v>
      </c>
      <c r="D280" s="8">
        <v>1.7</v>
      </c>
      <c r="E280" s="12">
        <v>7</v>
      </c>
      <c r="F280" s="3">
        <v>25</v>
      </c>
      <c r="G280" s="13" t="s">
        <v>452</v>
      </c>
      <c r="H280" s="1" t="s">
        <v>185</v>
      </c>
      <c r="I280" s="3" t="s">
        <v>133</v>
      </c>
      <c r="J280" s="3" t="s">
        <v>456</v>
      </c>
      <c r="K280" s="3" t="s">
        <v>453</v>
      </c>
      <c r="L280" s="23">
        <v>67</v>
      </c>
      <c r="M280" s="1" t="s">
        <v>449</v>
      </c>
      <c r="N280" s="1">
        <v>2018</v>
      </c>
      <c r="O280" s="13" t="s">
        <v>448</v>
      </c>
    </row>
    <row r="281" spans="1:15" x14ac:dyDescent="0.15">
      <c r="A281" s="24">
        <v>278</v>
      </c>
      <c r="B281" s="2" t="s">
        <v>397</v>
      </c>
      <c r="C281" s="6">
        <v>1.4</v>
      </c>
      <c r="D281" s="6">
        <v>0.1</v>
      </c>
      <c r="E281" s="12">
        <v>7</v>
      </c>
      <c r="F281" s="3">
        <v>25</v>
      </c>
      <c r="G281" s="13" t="s">
        <v>452</v>
      </c>
      <c r="H281" s="1" t="s">
        <v>185</v>
      </c>
      <c r="I281" s="3" t="s">
        <v>133</v>
      </c>
      <c r="J281" s="3" t="s">
        <v>456</v>
      </c>
      <c r="K281" s="3" t="s">
        <v>453</v>
      </c>
      <c r="L281" s="23">
        <v>67</v>
      </c>
      <c r="M281" s="1" t="s">
        <v>449</v>
      </c>
      <c r="N281" s="1">
        <v>2018</v>
      </c>
      <c r="O281" s="13" t="s">
        <v>448</v>
      </c>
    </row>
    <row r="282" spans="1:15" x14ac:dyDescent="0.15">
      <c r="A282" s="24">
        <v>279</v>
      </c>
      <c r="B282" s="2" t="s">
        <v>398</v>
      </c>
      <c r="C282" s="6">
        <v>4.5</v>
      </c>
      <c r="D282" s="6">
        <v>0.3</v>
      </c>
      <c r="E282" s="12">
        <v>7</v>
      </c>
      <c r="F282" s="3">
        <v>25</v>
      </c>
      <c r="G282" s="13" t="s">
        <v>452</v>
      </c>
      <c r="H282" s="1" t="s">
        <v>185</v>
      </c>
      <c r="I282" s="3" t="s">
        <v>133</v>
      </c>
      <c r="J282" s="3" t="s">
        <v>456</v>
      </c>
      <c r="K282" s="3" t="s">
        <v>453</v>
      </c>
      <c r="L282" s="23">
        <v>67</v>
      </c>
      <c r="M282" s="1" t="s">
        <v>449</v>
      </c>
      <c r="N282" s="1">
        <v>2018</v>
      </c>
      <c r="O282" s="13" t="s">
        <v>448</v>
      </c>
    </row>
    <row r="283" spans="1:15" x14ac:dyDescent="0.15">
      <c r="A283" s="24">
        <v>280</v>
      </c>
      <c r="B283" s="2" t="s">
        <v>15</v>
      </c>
      <c r="C283" s="6">
        <v>5.5</v>
      </c>
      <c r="D283" s="6">
        <v>0.2</v>
      </c>
      <c r="E283" s="12">
        <v>7</v>
      </c>
      <c r="F283" s="3">
        <v>25</v>
      </c>
      <c r="G283" s="13" t="s">
        <v>452</v>
      </c>
      <c r="H283" s="1" t="s">
        <v>185</v>
      </c>
      <c r="I283" s="3" t="s">
        <v>133</v>
      </c>
      <c r="J283" s="3" t="s">
        <v>456</v>
      </c>
      <c r="K283" s="3" t="s">
        <v>453</v>
      </c>
      <c r="L283" s="23">
        <v>67</v>
      </c>
      <c r="M283" s="1" t="s">
        <v>449</v>
      </c>
      <c r="N283" s="1">
        <v>2018</v>
      </c>
      <c r="O283" s="13" t="s">
        <v>448</v>
      </c>
    </row>
    <row r="284" spans="1:15" x14ac:dyDescent="0.15">
      <c r="A284" s="24">
        <v>281</v>
      </c>
      <c r="B284" s="2" t="s">
        <v>451</v>
      </c>
      <c r="C284" s="6">
        <v>0.48</v>
      </c>
      <c r="D284" s="6">
        <v>3.2000000000000001E-2</v>
      </c>
      <c r="E284" s="12">
        <v>7</v>
      </c>
      <c r="F284" s="3">
        <v>25</v>
      </c>
      <c r="G284" s="13" t="s">
        <v>452</v>
      </c>
      <c r="H284" s="1" t="s">
        <v>185</v>
      </c>
      <c r="I284" s="3" t="s">
        <v>133</v>
      </c>
      <c r="J284" s="3" t="s">
        <v>456</v>
      </c>
      <c r="K284" s="3" t="s">
        <v>453</v>
      </c>
      <c r="L284" s="23">
        <v>67</v>
      </c>
      <c r="M284" s="1" t="s">
        <v>449</v>
      </c>
      <c r="N284" s="1">
        <v>2018</v>
      </c>
      <c r="O284" s="13" t="s">
        <v>448</v>
      </c>
    </row>
    <row r="285" spans="1:15" x14ac:dyDescent="0.15">
      <c r="A285" s="24">
        <v>282</v>
      </c>
      <c r="B285" s="2" t="s">
        <v>523</v>
      </c>
      <c r="C285" s="8">
        <v>85.1</v>
      </c>
      <c r="D285" s="8">
        <v>6.1</v>
      </c>
      <c r="E285" s="12">
        <v>7</v>
      </c>
      <c r="F285" s="3">
        <v>25</v>
      </c>
      <c r="G285" s="13" t="s">
        <v>452</v>
      </c>
      <c r="H285" s="1" t="s">
        <v>185</v>
      </c>
      <c r="I285" s="3" t="s">
        <v>133</v>
      </c>
      <c r="J285" s="3" t="s">
        <v>456</v>
      </c>
      <c r="K285" s="3" t="s">
        <v>453</v>
      </c>
      <c r="L285" s="23">
        <v>67</v>
      </c>
      <c r="M285" s="1" t="s">
        <v>449</v>
      </c>
      <c r="N285" s="1">
        <v>2018</v>
      </c>
      <c r="O285" s="13" t="s">
        <v>448</v>
      </c>
    </row>
    <row r="286" spans="1:15" x14ac:dyDescent="0.15">
      <c r="A286" s="24">
        <v>283</v>
      </c>
      <c r="B286" s="2" t="s">
        <v>526</v>
      </c>
      <c r="C286" s="8">
        <v>23.1</v>
      </c>
      <c r="D286" s="8">
        <v>1.7</v>
      </c>
      <c r="E286" s="12">
        <v>7</v>
      </c>
      <c r="F286" s="3">
        <v>25</v>
      </c>
      <c r="G286" s="13" t="s">
        <v>452</v>
      </c>
      <c r="H286" s="1" t="s">
        <v>185</v>
      </c>
      <c r="I286" s="3" t="s">
        <v>133</v>
      </c>
      <c r="J286" s="3" t="s">
        <v>456</v>
      </c>
      <c r="K286" s="3" t="s">
        <v>453</v>
      </c>
      <c r="L286" s="23">
        <v>67</v>
      </c>
      <c r="M286" s="1" t="s">
        <v>449</v>
      </c>
      <c r="N286" s="1">
        <v>2018</v>
      </c>
      <c r="O286" s="13" t="s">
        <v>448</v>
      </c>
    </row>
    <row r="287" spans="1:15" x14ac:dyDescent="0.15">
      <c r="A287" s="24">
        <v>284</v>
      </c>
      <c r="B287" s="2" t="s">
        <v>529</v>
      </c>
      <c r="C287" s="8">
        <v>82.5</v>
      </c>
      <c r="D287" s="8">
        <v>5.2</v>
      </c>
      <c r="E287" s="12">
        <v>7</v>
      </c>
      <c r="F287" s="3">
        <v>25</v>
      </c>
      <c r="G287" s="13" t="s">
        <v>452</v>
      </c>
      <c r="H287" s="1" t="s">
        <v>185</v>
      </c>
      <c r="I287" s="3" t="s">
        <v>133</v>
      </c>
      <c r="J287" s="3" t="s">
        <v>456</v>
      </c>
      <c r="K287" s="3" t="s">
        <v>453</v>
      </c>
      <c r="L287" s="23">
        <v>67</v>
      </c>
      <c r="M287" s="1" t="s">
        <v>449</v>
      </c>
      <c r="N287" s="1">
        <v>2018</v>
      </c>
      <c r="O287" s="13" t="s">
        <v>448</v>
      </c>
    </row>
    <row r="288" spans="1:15" x14ac:dyDescent="0.15">
      <c r="A288" s="24">
        <v>285</v>
      </c>
      <c r="B288" s="2" t="s">
        <v>286</v>
      </c>
      <c r="C288" s="5">
        <v>110.4</v>
      </c>
      <c r="D288" s="5">
        <v>3</v>
      </c>
      <c r="E288" s="12">
        <v>7</v>
      </c>
      <c r="F288" s="3">
        <v>25</v>
      </c>
      <c r="G288" s="13" t="s">
        <v>452</v>
      </c>
      <c r="H288" s="1" t="s">
        <v>185</v>
      </c>
      <c r="I288" s="3" t="s">
        <v>133</v>
      </c>
      <c r="J288" s="3" t="s">
        <v>456</v>
      </c>
      <c r="K288" s="3" t="s">
        <v>453</v>
      </c>
      <c r="L288" s="23">
        <v>67</v>
      </c>
      <c r="M288" s="1" t="s">
        <v>449</v>
      </c>
      <c r="N288" s="1">
        <v>2018</v>
      </c>
      <c r="O288" s="13" t="s">
        <v>448</v>
      </c>
    </row>
    <row r="289" spans="1:15" x14ac:dyDescent="0.15">
      <c r="A289" s="24">
        <v>286</v>
      </c>
      <c r="B289" s="2" t="s">
        <v>690</v>
      </c>
      <c r="C289" s="8">
        <v>34</v>
      </c>
      <c r="D289" s="8">
        <v>1.7</v>
      </c>
      <c r="E289" s="12">
        <v>7</v>
      </c>
      <c r="F289" s="3">
        <v>25</v>
      </c>
      <c r="G289" s="13" t="s">
        <v>452</v>
      </c>
      <c r="H289" s="1" t="s">
        <v>185</v>
      </c>
      <c r="I289" s="3" t="s">
        <v>133</v>
      </c>
      <c r="J289" s="3" t="s">
        <v>456</v>
      </c>
      <c r="K289" s="3" t="s">
        <v>453</v>
      </c>
      <c r="L289" s="23">
        <v>67</v>
      </c>
      <c r="M289" s="1" t="s">
        <v>449</v>
      </c>
      <c r="N289" s="1">
        <v>2018</v>
      </c>
      <c r="O289" s="13" t="s">
        <v>448</v>
      </c>
    </row>
    <row r="290" spans="1:15" x14ac:dyDescent="0.15">
      <c r="A290" s="24">
        <v>287</v>
      </c>
      <c r="B290" s="2" t="s">
        <v>532</v>
      </c>
      <c r="C290" s="8">
        <v>74</v>
      </c>
      <c r="D290" s="8">
        <v>5.0999999999999996</v>
      </c>
      <c r="E290" s="12">
        <v>7</v>
      </c>
      <c r="F290" s="3">
        <v>25</v>
      </c>
      <c r="G290" s="13" t="s">
        <v>452</v>
      </c>
      <c r="H290" s="1" t="s">
        <v>185</v>
      </c>
      <c r="I290" s="3" t="s">
        <v>133</v>
      </c>
      <c r="J290" s="3" t="s">
        <v>456</v>
      </c>
      <c r="K290" s="3" t="s">
        <v>453</v>
      </c>
      <c r="L290" s="23">
        <v>67</v>
      </c>
      <c r="M290" s="1" t="s">
        <v>449</v>
      </c>
      <c r="N290" s="1">
        <v>2018</v>
      </c>
      <c r="O290" s="13" t="s">
        <v>448</v>
      </c>
    </row>
    <row r="291" spans="1:15" x14ac:dyDescent="0.15">
      <c r="A291" s="24">
        <v>288</v>
      </c>
      <c r="B291" s="2" t="s">
        <v>366</v>
      </c>
      <c r="C291" s="8">
        <v>30</v>
      </c>
      <c r="D291" s="8"/>
      <c r="E291" s="12">
        <v>7</v>
      </c>
      <c r="F291" s="3">
        <v>21</v>
      </c>
      <c r="G291" s="13" t="s">
        <v>457</v>
      </c>
      <c r="H291" s="1" t="s">
        <v>185</v>
      </c>
      <c r="I291" s="3" t="s">
        <v>133</v>
      </c>
      <c r="J291" s="3" t="s">
        <v>692</v>
      </c>
      <c r="K291" s="3" t="s">
        <v>48</v>
      </c>
      <c r="L291" s="23">
        <v>68</v>
      </c>
      <c r="M291" s="1" t="s">
        <v>455</v>
      </c>
      <c r="N291" s="1">
        <v>2018</v>
      </c>
      <c r="O291" s="13" t="s">
        <v>454</v>
      </c>
    </row>
    <row r="292" spans="1:15" x14ac:dyDescent="0.15">
      <c r="A292" s="24">
        <v>289</v>
      </c>
      <c r="B292" s="2" t="s">
        <v>315</v>
      </c>
      <c r="C292" s="8">
        <v>12.71</v>
      </c>
      <c r="D292" s="8">
        <v>1.62</v>
      </c>
      <c r="E292" s="12">
        <v>7</v>
      </c>
      <c r="F292" s="3" t="s">
        <v>75</v>
      </c>
      <c r="G292" s="13" t="s">
        <v>262</v>
      </c>
      <c r="H292" s="1" t="s">
        <v>185</v>
      </c>
      <c r="I292" s="3" t="s">
        <v>133</v>
      </c>
      <c r="J292" s="3">
        <v>10</v>
      </c>
      <c r="K292" s="3">
        <v>4.0000000000000002E-4</v>
      </c>
      <c r="L292" s="23">
        <v>69</v>
      </c>
      <c r="M292" s="1" t="s">
        <v>459</v>
      </c>
      <c r="N292" s="1">
        <v>2018</v>
      </c>
      <c r="O292" s="13" t="s">
        <v>458</v>
      </c>
    </row>
    <row r="293" spans="1:15" x14ac:dyDescent="0.15">
      <c r="A293" s="24">
        <v>290</v>
      </c>
      <c r="B293" s="2" t="s">
        <v>695</v>
      </c>
      <c r="C293" s="4">
        <v>3.47E-3</v>
      </c>
      <c r="D293" s="4"/>
      <c r="E293" s="12" t="s">
        <v>693</v>
      </c>
      <c r="F293" s="3">
        <v>25</v>
      </c>
      <c r="G293" s="13" t="s">
        <v>694</v>
      </c>
      <c r="H293" s="1" t="s">
        <v>185</v>
      </c>
      <c r="I293" s="3" t="s">
        <v>133</v>
      </c>
      <c r="J293" s="3" t="s">
        <v>696</v>
      </c>
      <c r="K293" s="3">
        <v>0.01</v>
      </c>
      <c r="L293" s="23">
        <v>70</v>
      </c>
      <c r="M293" s="1" t="s">
        <v>461</v>
      </c>
      <c r="N293" s="1">
        <v>2018</v>
      </c>
      <c r="O293" s="13" t="s">
        <v>460</v>
      </c>
    </row>
    <row r="294" spans="1:15" x14ac:dyDescent="0.15">
      <c r="A294" s="24">
        <v>291</v>
      </c>
      <c r="B294" s="2" t="s">
        <v>463</v>
      </c>
      <c r="C294" s="8">
        <v>20.55</v>
      </c>
      <c r="D294" s="8">
        <v>0.48</v>
      </c>
      <c r="E294" s="12">
        <v>7</v>
      </c>
      <c r="F294" s="3">
        <v>25</v>
      </c>
      <c r="G294" s="13" t="s">
        <v>464</v>
      </c>
      <c r="H294" s="1" t="s">
        <v>185</v>
      </c>
      <c r="I294" s="3" t="s">
        <v>133</v>
      </c>
      <c r="J294" s="3">
        <v>3</v>
      </c>
      <c r="K294" s="3">
        <v>6.0000000000000002E-5</v>
      </c>
      <c r="L294" s="23">
        <v>71</v>
      </c>
      <c r="M294" s="1" t="s">
        <v>427</v>
      </c>
      <c r="N294" s="1">
        <v>2018</v>
      </c>
      <c r="O294" s="13" t="s">
        <v>462</v>
      </c>
    </row>
    <row r="295" spans="1:15" x14ac:dyDescent="0.15">
      <c r="A295" s="24">
        <v>292</v>
      </c>
      <c r="B295" s="2" t="s">
        <v>466</v>
      </c>
      <c r="C295" s="6">
        <f>0.0268/60*1000</f>
        <v>0.44666666666666666</v>
      </c>
      <c r="D295" s="6"/>
      <c r="E295" s="12">
        <v>5.76</v>
      </c>
      <c r="F295" s="3">
        <v>25</v>
      </c>
      <c r="G295" s="13" t="s">
        <v>393</v>
      </c>
      <c r="H295" s="1" t="s">
        <v>185</v>
      </c>
      <c r="I295" s="3" t="s">
        <v>133</v>
      </c>
      <c r="J295" s="3" t="s">
        <v>467</v>
      </c>
      <c r="K295" s="3" t="s">
        <v>468</v>
      </c>
      <c r="L295" s="23">
        <v>72</v>
      </c>
      <c r="M295" s="1" t="s">
        <v>392</v>
      </c>
      <c r="N295" s="1">
        <v>2018</v>
      </c>
      <c r="O295" s="13" t="s">
        <v>465</v>
      </c>
    </row>
    <row r="296" spans="1:15" x14ac:dyDescent="0.15">
      <c r="A296" s="24">
        <v>293</v>
      </c>
      <c r="B296" s="2" t="s">
        <v>261</v>
      </c>
      <c r="C296" s="5">
        <v>272</v>
      </c>
      <c r="D296" s="5">
        <v>23</v>
      </c>
      <c r="E296" s="12">
        <v>5.6</v>
      </c>
      <c r="F296" s="3">
        <v>23</v>
      </c>
      <c r="G296" s="13" t="s">
        <v>148</v>
      </c>
      <c r="H296" s="1" t="s">
        <v>185</v>
      </c>
      <c r="I296" s="3" t="s">
        <v>133</v>
      </c>
      <c r="J296" s="3" t="s">
        <v>97</v>
      </c>
      <c r="K296" s="3" t="s">
        <v>471</v>
      </c>
      <c r="L296" s="23">
        <v>73</v>
      </c>
      <c r="M296" s="1" t="s">
        <v>470</v>
      </c>
      <c r="N296" s="1">
        <v>2019</v>
      </c>
      <c r="O296" s="13" t="s">
        <v>469</v>
      </c>
    </row>
    <row r="297" spans="1:15" x14ac:dyDescent="0.15">
      <c r="A297" s="24">
        <v>294</v>
      </c>
      <c r="B297" s="2" t="s">
        <v>270</v>
      </c>
      <c r="C297" s="6">
        <v>0.26</v>
      </c>
      <c r="D297" s="6">
        <v>0.05</v>
      </c>
      <c r="E297" s="12">
        <v>5.6</v>
      </c>
      <c r="F297" s="3">
        <v>23</v>
      </c>
      <c r="G297" s="13" t="s">
        <v>148</v>
      </c>
      <c r="H297" s="1" t="s">
        <v>185</v>
      </c>
      <c r="I297" s="3" t="s">
        <v>133</v>
      </c>
      <c r="J297" s="3" t="s">
        <v>474</v>
      </c>
      <c r="K297" s="3" t="s">
        <v>472</v>
      </c>
      <c r="L297" s="23">
        <v>73</v>
      </c>
      <c r="M297" s="1" t="s">
        <v>470</v>
      </c>
      <c r="N297" s="1">
        <v>2019</v>
      </c>
      <c r="O297" s="13" t="s">
        <v>469</v>
      </c>
    </row>
    <row r="298" spans="1:15" x14ac:dyDescent="0.15">
      <c r="A298" s="24">
        <v>295</v>
      </c>
      <c r="B298" s="2" t="s">
        <v>473</v>
      </c>
      <c r="C298" s="6">
        <v>2.7</v>
      </c>
      <c r="D298" s="6">
        <v>0.2</v>
      </c>
      <c r="E298" s="12">
        <v>5.6</v>
      </c>
      <c r="F298" s="3">
        <v>23</v>
      </c>
      <c r="G298" s="13" t="s">
        <v>148</v>
      </c>
      <c r="H298" s="1" t="s">
        <v>185</v>
      </c>
      <c r="I298" s="3" t="s">
        <v>133</v>
      </c>
      <c r="J298" s="3" t="s">
        <v>476</v>
      </c>
      <c r="K298" s="3" t="s">
        <v>475</v>
      </c>
      <c r="L298" s="23">
        <v>73</v>
      </c>
      <c r="M298" s="1" t="s">
        <v>470</v>
      </c>
      <c r="N298" s="1">
        <v>2019</v>
      </c>
      <c r="O298" s="13" t="s">
        <v>469</v>
      </c>
    </row>
    <row r="299" spans="1:15" x14ac:dyDescent="0.15">
      <c r="A299" s="24">
        <v>296</v>
      </c>
      <c r="B299" s="2" t="s">
        <v>521</v>
      </c>
      <c r="C299" s="6">
        <v>1.1000000000000001</v>
      </c>
      <c r="D299" s="6">
        <v>0.1</v>
      </c>
      <c r="E299" s="12">
        <v>5.6</v>
      </c>
      <c r="F299" s="3">
        <v>23</v>
      </c>
      <c r="G299" s="13" t="s">
        <v>148</v>
      </c>
      <c r="H299" s="1" t="s">
        <v>23</v>
      </c>
      <c r="I299" s="3" t="s">
        <v>24</v>
      </c>
      <c r="J299" s="3" t="s">
        <v>477</v>
      </c>
      <c r="K299" s="3" t="s">
        <v>349</v>
      </c>
      <c r="L299" s="23">
        <v>73</v>
      </c>
      <c r="M299" s="1" t="s">
        <v>470</v>
      </c>
      <c r="N299" s="1">
        <v>2019</v>
      </c>
      <c r="O299" s="13" t="s">
        <v>469</v>
      </c>
    </row>
    <row r="300" spans="1:15" x14ac:dyDescent="0.15">
      <c r="A300" s="24">
        <v>297</v>
      </c>
      <c r="B300" s="2" t="s">
        <v>478</v>
      </c>
      <c r="C300" s="3" t="s">
        <v>479</v>
      </c>
      <c r="D300" s="3"/>
      <c r="E300" s="12">
        <v>5.6</v>
      </c>
      <c r="F300" s="3">
        <v>23</v>
      </c>
      <c r="G300" s="13" t="s">
        <v>148</v>
      </c>
      <c r="H300" s="1" t="s">
        <v>23</v>
      </c>
      <c r="I300" s="3" t="s">
        <v>24</v>
      </c>
      <c r="J300" s="3">
        <v>100</v>
      </c>
      <c r="K300" s="3">
        <f>0.0006</f>
        <v>5.9999999999999995E-4</v>
      </c>
      <c r="L300" s="23">
        <v>73</v>
      </c>
      <c r="M300" s="1" t="s">
        <v>470</v>
      </c>
      <c r="N300" s="1">
        <v>2019</v>
      </c>
      <c r="O300" s="13" t="s">
        <v>469</v>
      </c>
    </row>
    <row r="301" spans="1:15" x14ac:dyDescent="0.15">
      <c r="A301" s="24">
        <v>298</v>
      </c>
      <c r="B301" s="2" t="s">
        <v>15</v>
      </c>
      <c r="C301" s="6">
        <v>1.7</v>
      </c>
      <c r="D301" s="6">
        <v>0.2</v>
      </c>
      <c r="E301" s="12">
        <v>5.6</v>
      </c>
      <c r="F301" s="3">
        <v>23</v>
      </c>
      <c r="G301" s="13" t="s">
        <v>148</v>
      </c>
      <c r="H301" s="1" t="s">
        <v>23</v>
      </c>
      <c r="I301" s="3" t="s">
        <v>24</v>
      </c>
      <c r="J301" s="3" t="s">
        <v>482</v>
      </c>
      <c r="K301" s="3" t="s">
        <v>453</v>
      </c>
      <c r="L301" s="23">
        <v>74</v>
      </c>
      <c r="M301" s="1" t="s">
        <v>481</v>
      </c>
      <c r="N301" s="1">
        <v>2019</v>
      </c>
      <c r="O301" s="13" t="s">
        <v>480</v>
      </c>
    </row>
    <row r="302" spans="1:15" x14ac:dyDescent="0.15">
      <c r="A302" s="24">
        <v>299</v>
      </c>
      <c r="B302" s="2" t="s">
        <v>15</v>
      </c>
      <c r="C302" s="6">
        <v>1.6</v>
      </c>
      <c r="D302" s="6">
        <v>0.2</v>
      </c>
      <c r="E302" s="12">
        <v>5.6</v>
      </c>
      <c r="F302" s="3">
        <v>23</v>
      </c>
      <c r="G302" s="13" t="s">
        <v>148</v>
      </c>
      <c r="H302" s="1" t="s">
        <v>185</v>
      </c>
      <c r="I302" s="3" t="s">
        <v>133</v>
      </c>
      <c r="J302" s="3" t="s">
        <v>697</v>
      </c>
      <c r="K302" s="3" t="s">
        <v>475</v>
      </c>
      <c r="L302" s="23">
        <v>74</v>
      </c>
      <c r="M302" s="1" t="s">
        <v>481</v>
      </c>
      <c r="N302" s="1">
        <v>2019</v>
      </c>
      <c r="O302" s="13" t="s">
        <v>480</v>
      </c>
    </row>
    <row r="303" spans="1:15" x14ac:dyDescent="0.15">
      <c r="A303" s="24">
        <v>300</v>
      </c>
      <c r="B303" s="2" t="s">
        <v>484</v>
      </c>
      <c r="C303" s="6">
        <v>0.82</v>
      </c>
      <c r="D303" s="6"/>
      <c r="E303" s="12">
        <v>7</v>
      </c>
      <c r="F303" s="3">
        <v>25</v>
      </c>
      <c r="G303" s="13" t="s">
        <v>452</v>
      </c>
      <c r="H303" s="1" t="s">
        <v>185</v>
      </c>
      <c r="I303" s="3" t="s">
        <v>133</v>
      </c>
      <c r="J303" s="3" t="s">
        <v>486</v>
      </c>
      <c r="K303" s="3" t="s">
        <v>243</v>
      </c>
      <c r="L303" s="23">
        <v>75</v>
      </c>
      <c r="M303" s="1" t="s">
        <v>449</v>
      </c>
      <c r="N303" s="1">
        <v>2019</v>
      </c>
      <c r="O303" s="13" t="s">
        <v>483</v>
      </c>
    </row>
    <row r="304" spans="1:15" x14ac:dyDescent="0.15">
      <c r="A304" s="24">
        <v>301</v>
      </c>
      <c r="B304" s="2" t="s">
        <v>16</v>
      </c>
      <c r="C304" s="6">
        <v>9.44</v>
      </c>
      <c r="D304" s="6"/>
      <c r="E304" s="12">
        <v>7</v>
      </c>
      <c r="F304" s="3">
        <v>25</v>
      </c>
      <c r="G304" s="13" t="s">
        <v>401</v>
      </c>
      <c r="H304" s="1" t="s">
        <v>185</v>
      </c>
      <c r="I304" s="3" t="s">
        <v>133</v>
      </c>
      <c r="J304" s="3" t="s">
        <v>489</v>
      </c>
      <c r="K304" s="3" t="s">
        <v>488</v>
      </c>
      <c r="L304" s="23">
        <v>76</v>
      </c>
      <c r="M304" s="1" t="s">
        <v>413</v>
      </c>
      <c r="N304" s="1">
        <v>2019</v>
      </c>
      <c r="O304" s="13" t="s">
        <v>487</v>
      </c>
    </row>
    <row r="305" spans="1:20" x14ac:dyDescent="0.15">
      <c r="A305" s="24">
        <v>302</v>
      </c>
      <c r="B305" s="2" t="s">
        <v>491</v>
      </c>
      <c r="C305" s="5">
        <v>305.27999999999997</v>
      </c>
      <c r="D305" s="5"/>
      <c r="E305" s="12">
        <v>7</v>
      </c>
      <c r="F305" s="3">
        <v>25</v>
      </c>
      <c r="G305" s="13" t="s">
        <v>401</v>
      </c>
      <c r="H305" s="1" t="s">
        <v>185</v>
      </c>
      <c r="I305" s="3" t="s">
        <v>133</v>
      </c>
      <c r="J305" s="3" t="s">
        <v>489</v>
      </c>
      <c r="K305" s="3" t="s">
        <v>488</v>
      </c>
      <c r="L305" s="23">
        <v>76</v>
      </c>
      <c r="M305" s="1" t="s">
        <v>413</v>
      </c>
      <c r="N305" s="1">
        <v>2019</v>
      </c>
      <c r="O305" s="13" t="s">
        <v>487</v>
      </c>
    </row>
    <row r="306" spans="1:20" x14ac:dyDescent="0.15">
      <c r="A306" s="24">
        <v>303</v>
      </c>
      <c r="B306" s="2" t="s">
        <v>490</v>
      </c>
      <c r="C306" s="6">
        <v>0.67</v>
      </c>
      <c r="D306" s="6"/>
      <c r="E306" s="12">
        <v>7</v>
      </c>
      <c r="F306" s="3">
        <v>25</v>
      </c>
      <c r="G306" s="13" t="s">
        <v>401</v>
      </c>
      <c r="H306" s="1" t="s">
        <v>185</v>
      </c>
      <c r="I306" s="3" t="s">
        <v>133</v>
      </c>
      <c r="J306" s="3" t="s">
        <v>489</v>
      </c>
      <c r="K306" s="3" t="s">
        <v>488</v>
      </c>
      <c r="L306" s="23">
        <v>76</v>
      </c>
      <c r="M306" s="1" t="s">
        <v>413</v>
      </c>
      <c r="N306" s="1">
        <v>2019</v>
      </c>
      <c r="O306" s="13" t="s">
        <v>487</v>
      </c>
    </row>
    <row r="307" spans="1:20" x14ac:dyDescent="0.15">
      <c r="A307" s="24">
        <v>304</v>
      </c>
      <c r="B307" s="2" t="s">
        <v>492</v>
      </c>
      <c r="C307" s="6">
        <v>0.72</v>
      </c>
      <c r="D307" s="6"/>
      <c r="E307" s="12">
        <v>7</v>
      </c>
      <c r="F307" s="3">
        <v>25</v>
      </c>
      <c r="G307" s="13" t="s">
        <v>401</v>
      </c>
      <c r="H307" s="1" t="s">
        <v>185</v>
      </c>
      <c r="I307" s="3" t="s">
        <v>133</v>
      </c>
      <c r="J307" s="3" t="s">
        <v>489</v>
      </c>
      <c r="K307" s="3" t="s">
        <v>488</v>
      </c>
      <c r="L307" s="23">
        <v>76</v>
      </c>
      <c r="M307" s="1" t="s">
        <v>413</v>
      </c>
      <c r="N307" s="1">
        <v>2019</v>
      </c>
      <c r="O307" s="13" t="s">
        <v>487</v>
      </c>
    </row>
    <row r="308" spans="1:20" x14ac:dyDescent="0.15">
      <c r="A308" s="24">
        <v>305</v>
      </c>
      <c r="B308" s="2" t="s">
        <v>493</v>
      </c>
      <c r="C308" s="6">
        <v>1.1299999999999999</v>
      </c>
      <c r="D308" s="6"/>
      <c r="E308" s="12">
        <v>7</v>
      </c>
      <c r="F308" s="3">
        <v>25</v>
      </c>
      <c r="G308" s="13" t="s">
        <v>401</v>
      </c>
      <c r="H308" s="1" t="s">
        <v>185</v>
      </c>
      <c r="I308" s="3" t="s">
        <v>133</v>
      </c>
      <c r="J308" s="3" t="s">
        <v>489</v>
      </c>
      <c r="K308" s="3" t="s">
        <v>488</v>
      </c>
      <c r="L308" s="23">
        <v>76</v>
      </c>
      <c r="M308" s="1" t="s">
        <v>413</v>
      </c>
      <c r="N308" s="1">
        <v>2019</v>
      </c>
      <c r="O308" s="13" t="s">
        <v>487</v>
      </c>
    </row>
    <row r="309" spans="1:20" x14ac:dyDescent="0.15">
      <c r="A309" s="24">
        <v>306</v>
      </c>
      <c r="B309" s="2" t="s">
        <v>494</v>
      </c>
      <c r="C309" s="6">
        <v>0.76</v>
      </c>
      <c r="D309" s="6"/>
      <c r="E309" s="12">
        <v>7</v>
      </c>
      <c r="F309" s="3">
        <v>25</v>
      </c>
      <c r="G309" s="13" t="s">
        <v>401</v>
      </c>
      <c r="H309" s="1" t="s">
        <v>185</v>
      </c>
      <c r="I309" s="3" t="s">
        <v>133</v>
      </c>
      <c r="J309" s="3" t="s">
        <v>489</v>
      </c>
      <c r="K309" s="3" t="s">
        <v>488</v>
      </c>
      <c r="L309" s="23">
        <v>76</v>
      </c>
      <c r="M309" s="1" t="s">
        <v>413</v>
      </c>
      <c r="N309" s="1">
        <v>2019</v>
      </c>
      <c r="O309" s="13" t="s">
        <v>487</v>
      </c>
    </row>
    <row r="310" spans="1:20" x14ac:dyDescent="0.15">
      <c r="A310" s="24">
        <v>307</v>
      </c>
      <c r="B310" s="2" t="s">
        <v>495</v>
      </c>
      <c r="C310" s="6">
        <v>1.57</v>
      </c>
      <c r="D310" s="6"/>
      <c r="E310" s="12">
        <v>7</v>
      </c>
      <c r="F310" s="3">
        <v>25</v>
      </c>
      <c r="G310" s="13" t="s">
        <v>401</v>
      </c>
      <c r="H310" s="1" t="s">
        <v>185</v>
      </c>
      <c r="I310" s="3" t="s">
        <v>133</v>
      </c>
      <c r="J310" s="3" t="s">
        <v>489</v>
      </c>
      <c r="K310" s="3" t="s">
        <v>488</v>
      </c>
      <c r="L310" s="23">
        <v>76</v>
      </c>
      <c r="M310" s="1" t="s">
        <v>413</v>
      </c>
      <c r="N310" s="1">
        <v>2019</v>
      </c>
      <c r="O310" s="13" t="s">
        <v>487</v>
      </c>
    </row>
    <row r="311" spans="1:20" x14ac:dyDescent="0.15">
      <c r="A311" s="24">
        <v>308</v>
      </c>
      <c r="B311" s="2" t="s">
        <v>496</v>
      </c>
      <c r="C311" s="6">
        <v>1.67</v>
      </c>
      <c r="D311" s="6"/>
      <c r="E311" s="12">
        <v>7</v>
      </c>
      <c r="F311" s="3">
        <v>25</v>
      </c>
      <c r="G311" s="13" t="s">
        <v>401</v>
      </c>
      <c r="H311" s="32" t="s">
        <v>185</v>
      </c>
      <c r="I311" s="3" t="s">
        <v>133</v>
      </c>
      <c r="J311" s="3" t="s">
        <v>489</v>
      </c>
      <c r="K311" s="3" t="s">
        <v>488</v>
      </c>
      <c r="L311" s="23">
        <v>76</v>
      </c>
      <c r="M311" s="1" t="s">
        <v>413</v>
      </c>
      <c r="N311" s="1">
        <v>2019</v>
      </c>
      <c r="O311" s="13" t="s">
        <v>487</v>
      </c>
    </row>
    <row r="312" spans="1:20" x14ac:dyDescent="0.15">
      <c r="A312" s="24">
        <v>309</v>
      </c>
      <c r="B312" s="2" t="s">
        <v>295</v>
      </c>
      <c r="C312" s="5">
        <v>118</v>
      </c>
      <c r="D312" s="5">
        <v>9</v>
      </c>
      <c r="E312" s="12">
        <v>6.8</v>
      </c>
      <c r="F312" s="3">
        <v>18</v>
      </c>
      <c r="G312" s="13" t="s">
        <v>698</v>
      </c>
      <c r="H312" s="32" t="s">
        <v>185</v>
      </c>
      <c r="I312" s="3" t="s">
        <v>133</v>
      </c>
      <c r="J312" s="3">
        <v>250</v>
      </c>
      <c r="K312" s="109">
        <v>1.2999999999999999E-5</v>
      </c>
      <c r="L312" s="23">
        <v>77</v>
      </c>
      <c r="M312" s="1" t="s">
        <v>498</v>
      </c>
      <c r="N312" s="1">
        <v>2019</v>
      </c>
      <c r="O312" s="13" t="s">
        <v>497</v>
      </c>
    </row>
    <row r="313" spans="1:20" x14ac:dyDescent="0.15">
      <c r="A313" s="24">
        <v>310</v>
      </c>
      <c r="B313" s="2" t="s">
        <v>261</v>
      </c>
      <c r="C313" s="5">
        <v>320</v>
      </c>
      <c r="D313" s="5">
        <v>20</v>
      </c>
      <c r="E313" s="12">
        <v>6.8</v>
      </c>
      <c r="F313" s="3">
        <v>18</v>
      </c>
      <c r="G313" s="13" t="s">
        <v>698</v>
      </c>
      <c r="H313" s="32" t="s">
        <v>185</v>
      </c>
      <c r="I313" s="3" t="s">
        <v>133</v>
      </c>
      <c r="J313" s="3">
        <v>250</v>
      </c>
      <c r="K313" s="109">
        <v>1.2999999999999999E-5</v>
      </c>
      <c r="L313" s="23">
        <v>77</v>
      </c>
      <c r="M313" s="1" t="s">
        <v>498</v>
      </c>
      <c r="N313" s="1">
        <v>2019</v>
      </c>
      <c r="O313" s="13" t="s">
        <v>497</v>
      </c>
    </row>
    <row r="314" spans="1:20" x14ac:dyDescent="0.15">
      <c r="A314" s="24">
        <v>311</v>
      </c>
      <c r="B314" s="2" t="s">
        <v>218</v>
      </c>
      <c r="C314" s="5">
        <v>467</v>
      </c>
      <c r="D314" s="5"/>
      <c r="E314" s="12">
        <v>6.8</v>
      </c>
      <c r="F314" s="3">
        <v>18</v>
      </c>
      <c r="G314" s="13" t="s">
        <v>698</v>
      </c>
      <c r="H314" s="32" t="s">
        <v>185</v>
      </c>
      <c r="I314" s="3" t="s">
        <v>133</v>
      </c>
      <c r="J314" s="3">
        <v>250</v>
      </c>
      <c r="K314" s="109">
        <v>1.2999999999999999E-5</v>
      </c>
      <c r="L314" s="23">
        <v>77</v>
      </c>
      <c r="M314" s="1" t="s">
        <v>498</v>
      </c>
      <c r="N314" s="1">
        <v>2019</v>
      </c>
      <c r="O314" s="13" t="s">
        <v>497</v>
      </c>
    </row>
    <row r="315" spans="1:20" x14ac:dyDescent="0.15">
      <c r="A315" s="24">
        <v>312</v>
      </c>
      <c r="B315" s="2" t="s">
        <v>500</v>
      </c>
      <c r="C315" s="4">
        <v>5.8300000000000001E-3</v>
      </c>
      <c r="D315" s="4"/>
      <c r="E315" s="12" t="s">
        <v>693</v>
      </c>
      <c r="F315" s="3">
        <v>25</v>
      </c>
      <c r="G315" s="13" t="s">
        <v>699</v>
      </c>
      <c r="H315" s="32" t="s">
        <v>185</v>
      </c>
      <c r="I315" s="3" t="s">
        <v>133</v>
      </c>
      <c r="J315" s="3" t="s">
        <v>228</v>
      </c>
      <c r="K315" s="3" t="s">
        <v>107</v>
      </c>
      <c r="L315" s="23">
        <v>78</v>
      </c>
      <c r="M315" s="1" t="s">
        <v>285</v>
      </c>
      <c r="N315" s="1">
        <v>2020</v>
      </c>
      <c r="O315" s="13" t="s">
        <v>499</v>
      </c>
    </row>
    <row r="316" spans="1:20" x14ac:dyDescent="0.15">
      <c r="A316" s="24">
        <v>313</v>
      </c>
      <c r="B316" s="2" t="s">
        <v>379</v>
      </c>
      <c r="C316" s="3" t="s">
        <v>503</v>
      </c>
      <c r="D316" s="3"/>
      <c r="E316" s="12">
        <v>4.5</v>
      </c>
      <c r="F316" s="3">
        <v>65</v>
      </c>
      <c r="G316" s="13" t="s">
        <v>700</v>
      </c>
      <c r="H316" s="32" t="s">
        <v>298</v>
      </c>
      <c r="I316" s="3" t="s">
        <v>133</v>
      </c>
      <c r="J316" s="5">
        <f>K316/(0.0001/538.2)</f>
        <v>172.22400000000002</v>
      </c>
      <c r="K316" s="3">
        <v>3.1999999999999999E-5</v>
      </c>
      <c r="L316" s="23">
        <v>79</v>
      </c>
      <c r="M316" s="1" t="s">
        <v>502</v>
      </c>
      <c r="N316" s="1">
        <v>2020</v>
      </c>
      <c r="O316" s="13" t="s">
        <v>501</v>
      </c>
    </row>
    <row r="317" spans="1:20" x14ac:dyDescent="0.15">
      <c r="A317" s="24">
        <v>314</v>
      </c>
      <c r="B317" s="2" t="s">
        <v>607</v>
      </c>
      <c r="C317" s="6">
        <v>0.76</v>
      </c>
      <c r="D317" s="6">
        <v>0.06</v>
      </c>
      <c r="E317" s="12">
        <v>6.25</v>
      </c>
      <c r="F317" s="3" t="s">
        <v>75</v>
      </c>
      <c r="G317" s="13" t="s">
        <v>509</v>
      </c>
      <c r="H317" s="32" t="s">
        <v>142</v>
      </c>
      <c r="I317" s="3" t="s">
        <v>133</v>
      </c>
      <c r="J317" s="3" t="s">
        <v>507</v>
      </c>
      <c r="K317" s="3" t="s">
        <v>506</v>
      </c>
      <c r="L317" s="23">
        <v>80</v>
      </c>
      <c r="M317" s="1" t="s">
        <v>505</v>
      </c>
      <c r="N317" s="1">
        <v>1993</v>
      </c>
      <c r="O317" s="13" t="s">
        <v>504</v>
      </c>
    </row>
    <row r="318" spans="1:20" x14ac:dyDescent="0.15">
      <c r="A318" s="24">
        <v>315</v>
      </c>
      <c r="B318" s="2" t="s">
        <v>607</v>
      </c>
      <c r="C318" s="6">
        <v>0.8</v>
      </c>
      <c r="D318" s="6"/>
      <c r="E318" s="12">
        <v>6.3</v>
      </c>
      <c r="F318" s="3">
        <v>25</v>
      </c>
      <c r="G318" s="13" t="s">
        <v>148</v>
      </c>
      <c r="H318" s="32" t="s">
        <v>142</v>
      </c>
      <c r="I318" s="3" t="s">
        <v>133</v>
      </c>
      <c r="J318" s="3" t="s">
        <v>192</v>
      </c>
      <c r="K318" s="3" t="s">
        <v>512</v>
      </c>
      <c r="L318" s="23">
        <v>81</v>
      </c>
      <c r="M318" s="1" t="s">
        <v>511</v>
      </c>
      <c r="N318" s="1">
        <v>2008</v>
      </c>
      <c r="O318" s="13" t="s">
        <v>510</v>
      </c>
      <c r="R318" s="34"/>
      <c r="T318" s="34"/>
    </row>
    <row r="319" spans="1:20" x14ac:dyDescent="0.15">
      <c r="A319" s="24">
        <v>316</v>
      </c>
      <c r="B319" s="2" t="s">
        <v>607</v>
      </c>
      <c r="C319" s="6">
        <v>0.92</v>
      </c>
      <c r="D319" s="6">
        <v>7.0000000000000007E-2</v>
      </c>
      <c r="E319" s="12">
        <v>6.9</v>
      </c>
      <c r="F319" s="3">
        <v>20</v>
      </c>
      <c r="G319" s="13" t="s">
        <v>227</v>
      </c>
      <c r="H319" s="32" t="s">
        <v>142</v>
      </c>
      <c r="I319" s="3" t="s">
        <v>133</v>
      </c>
      <c r="J319" s="3" t="s">
        <v>701</v>
      </c>
      <c r="K319" s="3" t="s">
        <v>515</v>
      </c>
      <c r="L319" s="23">
        <v>82</v>
      </c>
      <c r="M319" s="1" t="s">
        <v>514</v>
      </c>
      <c r="N319" s="1">
        <v>2008</v>
      </c>
      <c r="O319" s="13" t="s">
        <v>513</v>
      </c>
      <c r="R319" s="34"/>
      <c r="T319" s="34"/>
    </row>
    <row r="320" spans="1:20" x14ac:dyDescent="0.15">
      <c r="A320" s="24">
        <v>317</v>
      </c>
      <c r="B320" s="2" t="s">
        <v>15</v>
      </c>
      <c r="C320" s="3">
        <v>1.39</v>
      </c>
      <c r="D320" s="3">
        <v>0.42</v>
      </c>
      <c r="E320" s="12">
        <v>5.3</v>
      </c>
      <c r="F320" s="5">
        <v>23</v>
      </c>
      <c r="G320" s="13" t="s">
        <v>148</v>
      </c>
      <c r="H320" s="32" t="s">
        <v>23</v>
      </c>
      <c r="I320" s="3" t="s">
        <v>24</v>
      </c>
      <c r="J320" s="3" t="s">
        <v>564</v>
      </c>
      <c r="K320" s="3" t="s">
        <v>559</v>
      </c>
      <c r="L320" s="23">
        <v>83</v>
      </c>
      <c r="M320" s="1" t="s">
        <v>891</v>
      </c>
      <c r="N320" s="1">
        <v>2022</v>
      </c>
      <c r="O320" s="13" t="s">
        <v>892</v>
      </c>
      <c r="R320" s="34"/>
      <c r="T320" s="34"/>
    </row>
    <row r="321" spans="1:20" x14ac:dyDescent="0.15">
      <c r="A321" s="24">
        <v>318</v>
      </c>
      <c r="B321" s="2" t="s">
        <v>531</v>
      </c>
      <c r="C321" s="3">
        <v>9.8000000000000004E-2</v>
      </c>
      <c r="D321" s="3">
        <v>0.03</v>
      </c>
      <c r="E321" s="12">
        <v>5.3</v>
      </c>
      <c r="F321" s="5">
        <v>23</v>
      </c>
      <c r="G321" s="13" t="s">
        <v>148</v>
      </c>
      <c r="H321" s="32" t="s">
        <v>23</v>
      </c>
      <c r="I321" s="3" t="s">
        <v>24</v>
      </c>
      <c r="J321" s="3" t="s">
        <v>565</v>
      </c>
      <c r="K321" s="3" t="s">
        <v>560</v>
      </c>
      <c r="L321" s="23">
        <v>83</v>
      </c>
      <c r="M321" s="1" t="s">
        <v>891</v>
      </c>
      <c r="N321" s="1">
        <v>2022</v>
      </c>
      <c r="O321" s="13" t="s">
        <v>892</v>
      </c>
      <c r="R321" s="34"/>
      <c r="T321" s="34"/>
    </row>
    <row r="322" spans="1:20" x14ac:dyDescent="0.15">
      <c r="A322" s="24">
        <v>319</v>
      </c>
      <c r="B322" s="2" t="s">
        <v>555</v>
      </c>
      <c r="C322" s="3">
        <v>88</v>
      </c>
      <c r="D322" s="3">
        <v>5.5</v>
      </c>
      <c r="E322" s="12">
        <v>5.3</v>
      </c>
      <c r="F322" s="5">
        <v>23</v>
      </c>
      <c r="G322" s="13" t="s">
        <v>148</v>
      </c>
      <c r="H322" s="32" t="s">
        <v>185</v>
      </c>
      <c r="I322" s="3" t="s">
        <v>133</v>
      </c>
      <c r="J322" s="3" t="s">
        <v>266</v>
      </c>
      <c r="K322" s="3" t="s">
        <v>562</v>
      </c>
      <c r="L322" s="23">
        <v>83</v>
      </c>
      <c r="M322" s="1" t="s">
        <v>891</v>
      </c>
      <c r="N322" s="1">
        <v>2022</v>
      </c>
      <c r="O322" s="13" t="s">
        <v>892</v>
      </c>
    </row>
    <row r="323" spans="1:20" x14ac:dyDescent="0.15">
      <c r="A323" s="24">
        <v>320</v>
      </c>
      <c r="B323" s="2" t="s">
        <v>556</v>
      </c>
      <c r="C323" s="3">
        <v>399</v>
      </c>
      <c r="D323" s="3">
        <v>58</v>
      </c>
      <c r="E323" s="12">
        <v>5.3</v>
      </c>
      <c r="F323" s="5">
        <v>23</v>
      </c>
      <c r="G323" s="13" t="s">
        <v>148</v>
      </c>
      <c r="H323" s="32" t="s">
        <v>185</v>
      </c>
      <c r="I323" s="3" t="s">
        <v>133</v>
      </c>
      <c r="J323" s="3" t="s">
        <v>568</v>
      </c>
      <c r="K323" s="3" t="s">
        <v>563</v>
      </c>
      <c r="L323" s="23">
        <v>83</v>
      </c>
      <c r="M323" s="1" t="s">
        <v>891</v>
      </c>
      <c r="N323" s="1">
        <v>2022</v>
      </c>
      <c r="O323" s="13" t="s">
        <v>892</v>
      </c>
    </row>
    <row r="324" spans="1:20" x14ac:dyDescent="0.15">
      <c r="A324" s="24">
        <v>321</v>
      </c>
      <c r="B324" s="2" t="s">
        <v>557</v>
      </c>
      <c r="C324" s="3">
        <v>8.6300000000000008</v>
      </c>
      <c r="D324" s="3">
        <v>0.57999999999999996</v>
      </c>
      <c r="E324" s="12">
        <v>5.3</v>
      </c>
      <c r="F324" s="5">
        <v>23</v>
      </c>
      <c r="G324" s="13" t="s">
        <v>148</v>
      </c>
      <c r="H324" s="32" t="s">
        <v>23</v>
      </c>
      <c r="I324" s="3" t="s">
        <v>24</v>
      </c>
      <c r="J324" s="3" t="s">
        <v>566</v>
      </c>
      <c r="K324" s="3" t="s">
        <v>561</v>
      </c>
      <c r="L324" s="23">
        <v>83</v>
      </c>
      <c r="M324" s="1" t="s">
        <v>891</v>
      </c>
      <c r="N324" s="1">
        <v>2022</v>
      </c>
      <c r="O324" s="13" t="s">
        <v>892</v>
      </c>
    </row>
    <row r="325" spans="1:20" x14ac:dyDescent="0.15">
      <c r="A325" s="24">
        <v>322</v>
      </c>
      <c r="B325" s="2" t="s">
        <v>558</v>
      </c>
      <c r="C325" s="3">
        <v>2.67</v>
      </c>
      <c r="D325" s="3">
        <v>0.43</v>
      </c>
      <c r="E325" s="12">
        <v>5.3</v>
      </c>
      <c r="F325" s="5">
        <v>23</v>
      </c>
      <c r="G325" s="13" t="s">
        <v>148</v>
      </c>
      <c r="H325" s="32" t="s">
        <v>23</v>
      </c>
      <c r="I325" s="3" t="s">
        <v>24</v>
      </c>
      <c r="J325" s="3" t="s">
        <v>567</v>
      </c>
      <c r="K325" s="3">
        <v>2.5000000000000001E-4</v>
      </c>
      <c r="L325" s="23">
        <v>83</v>
      </c>
      <c r="M325" s="1" t="s">
        <v>891</v>
      </c>
      <c r="N325" s="1">
        <v>2022</v>
      </c>
      <c r="O325" s="13" t="s">
        <v>892</v>
      </c>
    </row>
    <row r="326" spans="1:20" x14ac:dyDescent="0.15">
      <c r="A326" s="24">
        <v>323</v>
      </c>
      <c r="B326" s="2" t="s">
        <v>607</v>
      </c>
      <c r="C326" s="3">
        <v>0.89</v>
      </c>
      <c r="D326" s="3">
        <v>0.03</v>
      </c>
      <c r="E326" s="12">
        <v>7</v>
      </c>
      <c r="F326" s="3">
        <v>20</v>
      </c>
      <c r="G326" s="13" t="s">
        <v>112</v>
      </c>
      <c r="H326" s="32" t="s">
        <v>164</v>
      </c>
      <c r="I326" s="3" t="s">
        <v>133</v>
      </c>
      <c r="J326" s="3" t="s">
        <v>602</v>
      </c>
      <c r="K326" s="3" t="s">
        <v>601</v>
      </c>
      <c r="L326" s="23">
        <v>84</v>
      </c>
      <c r="M326" s="1" t="s">
        <v>163</v>
      </c>
      <c r="N326" s="1">
        <v>1999</v>
      </c>
      <c r="O326" s="13" t="s">
        <v>600</v>
      </c>
    </row>
    <row r="327" spans="1:20" x14ac:dyDescent="0.15">
      <c r="A327" s="24">
        <v>324</v>
      </c>
      <c r="B327" s="2" t="s">
        <v>607</v>
      </c>
      <c r="C327" s="6">
        <f>46/60</f>
        <v>0.76666666666666672</v>
      </c>
      <c r="D327" s="3"/>
      <c r="E327" s="12">
        <v>5.3</v>
      </c>
      <c r="F327" s="3" t="s">
        <v>75</v>
      </c>
      <c r="G327" s="13" t="s">
        <v>148</v>
      </c>
      <c r="H327" s="32" t="s">
        <v>142</v>
      </c>
      <c r="I327" s="3" t="s">
        <v>133</v>
      </c>
      <c r="J327" s="3">
        <v>15</v>
      </c>
      <c r="K327" s="3">
        <v>7.9000000000000008E-3</v>
      </c>
      <c r="L327" s="23">
        <v>85</v>
      </c>
      <c r="M327" s="1" t="s">
        <v>603</v>
      </c>
      <c r="N327" s="1">
        <v>2003</v>
      </c>
      <c r="O327" s="13" t="s">
        <v>604</v>
      </c>
    </row>
    <row r="328" spans="1:20" x14ac:dyDescent="0.15">
      <c r="A328" s="24">
        <v>325</v>
      </c>
      <c r="B328" s="2" t="s">
        <v>608</v>
      </c>
      <c r="C328" s="4">
        <v>1.7000000000000001E-2</v>
      </c>
      <c r="D328" s="3">
        <v>2E-3</v>
      </c>
      <c r="E328" s="12">
        <v>10.6</v>
      </c>
      <c r="F328" s="3">
        <v>20</v>
      </c>
      <c r="G328" s="13" t="s">
        <v>704</v>
      </c>
      <c r="H328" s="32" t="s">
        <v>142</v>
      </c>
      <c r="I328" s="3" t="s">
        <v>133</v>
      </c>
      <c r="J328" s="3" t="s">
        <v>703</v>
      </c>
      <c r="K328" s="3" t="s">
        <v>702</v>
      </c>
      <c r="L328" s="23">
        <v>86</v>
      </c>
      <c r="M328" s="1" t="s">
        <v>605</v>
      </c>
      <c r="N328" s="1">
        <v>2002</v>
      </c>
      <c r="O328" s="13" t="s">
        <v>606</v>
      </c>
    </row>
    <row r="329" spans="1:20" x14ac:dyDescent="0.15">
      <c r="A329" s="24">
        <v>326</v>
      </c>
      <c r="B329" s="2" t="s">
        <v>526</v>
      </c>
      <c r="C329" s="8">
        <f>4040/60</f>
        <v>67.333333333333329</v>
      </c>
      <c r="D329" s="8">
        <f>200/60</f>
        <v>3.3333333333333335</v>
      </c>
      <c r="E329" s="12">
        <v>7</v>
      </c>
      <c r="F329" s="3">
        <v>25</v>
      </c>
      <c r="G329" s="13" t="s">
        <v>430</v>
      </c>
      <c r="H329" s="32" t="s">
        <v>619</v>
      </c>
      <c r="I329" s="3" t="s">
        <v>133</v>
      </c>
      <c r="J329" s="3" t="s">
        <v>617</v>
      </c>
      <c r="K329" s="3" t="s">
        <v>618</v>
      </c>
      <c r="L329" s="23">
        <v>87</v>
      </c>
      <c r="M329" s="1" t="s">
        <v>177</v>
      </c>
      <c r="N329" s="1">
        <v>2022</v>
      </c>
      <c r="O329" s="13" t="s">
        <v>621</v>
      </c>
    </row>
    <row r="330" spans="1:20" x14ac:dyDescent="0.15">
      <c r="A330" s="24">
        <v>327</v>
      </c>
      <c r="B330" s="2" t="s">
        <v>181</v>
      </c>
      <c r="C330" s="5">
        <f>21400/60</f>
        <v>356.66666666666669</v>
      </c>
      <c r="D330" s="5">
        <f>1000/60</f>
        <v>16.666666666666668</v>
      </c>
      <c r="E330" s="12">
        <v>7</v>
      </c>
      <c r="F330" s="3">
        <v>25</v>
      </c>
      <c r="G330" s="13" t="s">
        <v>430</v>
      </c>
      <c r="H330" s="32" t="s">
        <v>619</v>
      </c>
      <c r="I330" s="3" t="s">
        <v>620</v>
      </c>
      <c r="J330" s="3" t="s">
        <v>408</v>
      </c>
      <c r="K330" s="3" t="s">
        <v>408</v>
      </c>
      <c r="L330" s="23">
        <v>87</v>
      </c>
      <c r="M330" s="1" t="s">
        <v>177</v>
      </c>
      <c r="N330" s="1">
        <v>2022</v>
      </c>
      <c r="O330" s="13" t="s">
        <v>621</v>
      </c>
    </row>
    <row r="331" spans="1:20" x14ac:dyDescent="0.15">
      <c r="A331" s="24">
        <v>328</v>
      </c>
      <c r="B331" s="2" t="s">
        <v>622</v>
      </c>
      <c r="C331" s="8">
        <f>1030/60</f>
        <v>17.166666666666668</v>
      </c>
      <c r="D331" s="8">
        <f>130/60</f>
        <v>2.1666666666666665</v>
      </c>
      <c r="E331" s="12">
        <v>7</v>
      </c>
      <c r="F331" s="3">
        <v>25</v>
      </c>
      <c r="G331" s="13" t="s">
        <v>430</v>
      </c>
      <c r="H331" s="32" t="s">
        <v>619</v>
      </c>
      <c r="I331" s="3" t="s">
        <v>620</v>
      </c>
      <c r="J331" s="3" t="s">
        <v>408</v>
      </c>
      <c r="K331" s="3" t="s">
        <v>408</v>
      </c>
      <c r="L331" s="23">
        <v>87</v>
      </c>
      <c r="M331" s="1" t="s">
        <v>177</v>
      </c>
      <c r="N331" s="1">
        <v>2022</v>
      </c>
      <c r="O331" s="13" t="s">
        <v>621</v>
      </c>
    </row>
    <row r="332" spans="1:20" x14ac:dyDescent="0.15">
      <c r="A332" s="24">
        <v>329</v>
      </c>
      <c r="B332" s="2" t="s">
        <v>623</v>
      </c>
      <c r="C332" s="3">
        <f>18300/60</f>
        <v>305</v>
      </c>
      <c r="D332" s="5">
        <f>800/60</f>
        <v>13.333333333333334</v>
      </c>
      <c r="E332" s="12">
        <v>7</v>
      </c>
      <c r="F332" s="3">
        <v>25</v>
      </c>
      <c r="G332" s="13" t="s">
        <v>430</v>
      </c>
      <c r="H332" s="32" t="s">
        <v>619</v>
      </c>
      <c r="I332" s="3" t="s">
        <v>620</v>
      </c>
      <c r="J332" s="3" t="s">
        <v>408</v>
      </c>
      <c r="K332" s="3" t="s">
        <v>408</v>
      </c>
      <c r="L332" s="23">
        <v>87</v>
      </c>
      <c r="M332" s="1" t="s">
        <v>177</v>
      </c>
      <c r="N332" s="1">
        <v>2022</v>
      </c>
      <c r="O332" s="13" t="s">
        <v>621</v>
      </c>
    </row>
    <row r="333" spans="1:20" x14ac:dyDescent="0.15">
      <c r="A333" s="24">
        <v>330</v>
      </c>
      <c r="B333" s="2" t="s">
        <v>321</v>
      </c>
      <c r="C333" s="6">
        <f>AVERAGE(1.23,1.06)</f>
        <v>1.145</v>
      </c>
      <c r="D333" s="6">
        <f>STDEV(1.23,1.06)</f>
        <v>0.12020815280171303</v>
      </c>
      <c r="E333" s="12" t="s">
        <v>705</v>
      </c>
      <c r="F333" s="3">
        <v>25</v>
      </c>
      <c r="G333" s="13" t="s">
        <v>706</v>
      </c>
      <c r="H333" s="32" t="s">
        <v>185</v>
      </c>
      <c r="I333" s="3" t="s">
        <v>133</v>
      </c>
      <c r="J333" s="3">
        <v>10</v>
      </c>
      <c r="K333" s="3">
        <v>5.0000000000000002E-5</v>
      </c>
      <c r="L333" s="23">
        <v>88</v>
      </c>
      <c r="M333" s="1" t="s">
        <v>624</v>
      </c>
      <c r="N333" s="1">
        <v>2021</v>
      </c>
      <c r="O333" s="13" t="s">
        <v>625</v>
      </c>
    </row>
    <row r="334" spans="1:20" x14ac:dyDescent="0.15">
      <c r="A334" s="24">
        <v>331</v>
      </c>
      <c r="B334" s="2" t="s">
        <v>324</v>
      </c>
      <c r="C334" s="3">
        <f>AVERAGE(0.93,0.99)</f>
        <v>0.96</v>
      </c>
      <c r="D334" s="6">
        <f>STDEV(0.93,0.99)</f>
        <v>4.2426406871192812E-2</v>
      </c>
      <c r="E334" s="12" t="s">
        <v>705</v>
      </c>
      <c r="F334" s="3">
        <v>25</v>
      </c>
      <c r="G334" s="13" t="s">
        <v>706</v>
      </c>
      <c r="H334" s="32" t="s">
        <v>185</v>
      </c>
      <c r="I334" s="3" t="s">
        <v>133</v>
      </c>
      <c r="J334" s="3">
        <v>10</v>
      </c>
      <c r="K334" s="3">
        <v>5.0000000000000002E-5</v>
      </c>
      <c r="L334" s="23">
        <v>88</v>
      </c>
      <c r="M334" s="1" t="s">
        <v>624</v>
      </c>
      <c r="N334" s="1">
        <v>2021</v>
      </c>
      <c r="O334" s="13" t="s">
        <v>625</v>
      </c>
    </row>
    <row r="335" spans="1:20" x14ac:dyDescent="0.15">
      <c r="A335" s="76">
        <v>332</v>
      </c>
      <c r="B335" s="15" t="s">
        <v>628</v>
      </c>
      <c r="C335" s="74">
        <f>0.0202/60/(0.00001*20)</f>
        <v>1.6833333333333331</v>
      </c>
      <c r="D335" s="16"/>
      <c r="E335" s="71">
        <v>8</v>
      </c>
      <c r="F335" s="16">
        <v>25</v>
      </c>
      <c r="G335" s="72" t="s">
        <v>401</v>
      </c>
      <c r="H335" s="100" t="s">
        <v>185</v>
      </c>
      <c r="I335" s="16" t="s">
        <v>133</v>
      </c>
      <c r="J335" s="16">
        <v>20</v>
      </c>
      <c r="K335" s="16">
        <v>2.0000000000000001E-4</v>
      </c>
      <c r="L335" s="97">
        <v>89</v>
      </c>
      <c r="M335" s="19" t="s">
        <v>626</v>
      </c>
      <c r="N335" s="19">
        <v>2021</v>
      </c>
      <c r="O335" s="72" t="s">
        <v>627</v>
      </c>
    </row>
  </sheetData>
  <sortState xmlns:xlrd2="http://schemas.microsoft.com/office/spreadsheetml/2017/richdata2" ref="A4:O319">
    <sortCondition ref="A4:A319"/>
  </sortState>
  <mergeCells count="3">
    <mergeCell ref="E2:G2"/>
    <mergeCell ref="I2:K2"/>
    <mergeCell ref="L2:O2"/>
  </mergeCells>
  <phoneticPr fontId="3" type="noConversion"/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3F37-9E63-0543-9C97-5B45AD96F569}">
  <dimension ref="A1:AF373"/>
  <sheetViews>
    <sheetView zoomScale="130" zoomScaleNormal="130" workbookViewId="0">
      <pane ySplit="3" topLeftCell="A10" activePane="bottomLeft" state="frozen"/>
      <selection pane="bottomLeft" activeCell="O50" sqref="O50"/>
    </sheetView>
  </sheetViews>
  <sheetFormatPr baseColWidth="10" defaultColWidth="8.83203125" defaultRowHeight="14" x14ac:dyDescent="0.15"/>
  <cols>
    <col min="1" max="1" width="4.33203125" style="1" bestFit="1" customWidth="1"/>
    <col min="2" max="2" width="11.33203125" style="1" bestFit="1" customWidth="1"/>
    <col min="3" max="3" width="6.1640625" style="3" bestFit="1" customWidth="1"/>
    <col min="4" max="4" width="38.1640625" style="1" bestFit="1" customWidth="1"/>
    <col min="5" max="5" width="26.6640625" style="3" bestFit="1" customWidth="1"/>
    <col min="6" max="6" width="11.33203125" style="3" bestFit="1" customWidth="1"/>
    <col min="7" max="7" width="8.6640625" style="1" bestFit="1" customWidth="1"/>
    <col min="8" max="8" width="9.6640625" style="3" bestFit="1" customWidth="1"/>
    <col min="9" max="9" width="23" style="1" customWidth="1"/>
    <col min="10" max="10" width="15.5" style="1" bestFit="1" customWidth="1"/>
    <col min="11" max="11" width="15.6640625" style="1" customWidth="1"/>
    <col min="12" max="12" width="13.83203125" style="1" bestFit="1" customWidth="1"/>
    <col min="13" max="13" width="21.1640625" style="1" bestFit="1" customWidth="1"/>
    <col min="14" max="14" width="17" style="5" customWidth="1"/>
    <col min="15" max="15" width="23.1640625" style="1" bestFit="1" customWidth="1"/>
    <col min="16" max="16" width="5.5" style="1" bestFit="1" customWidth="1"/>
    <col min="17" max="17" width="154.6640625" style="1" bestFit="1" customWidth="1"/>
    <col min="18" max="19" width="8.83203125" style="1"/>
    <col min="20" max="20" width="9.1640625" style="1" bestFit="1" customWidth="1"/>
    <col min="21" max="21" width="8.83203125" style="1"/>
    <col min="22" max="22" width="9.83203125" style="1" customWidth="1"/>
    <col min="23" max="23" width="12.5" style="1" bestFit="1" customWidth="1"/>
    <col min="24" max="24" width="14.33203125" style="1" bestFit="1" customWidth="1"/>
    <col min="25" max="26" width="8.83203125" style="1"/>
    <col min="27" max="27" width="12.5" style="1" bestFit="1" customWidth="1"/>
    <col min="28" max="28" width="12.33203125" style="1" bestFit="1" customWidth="1"/>
    <col min="29" max="31" width="8.83203125" style="1"/>
    <col min="32" max="32" width="9.1640625" style="1" bestFit="1" customWidth="1"/>
    <col min="33" max="16384" width="8.83203125" style="1"/>
  </cols>
  <sheetData>
    <row r="1" spans="1:17" x14ac:dyDescent="0.15">
      <c r="A1" s="1" t="s">
        <v>897</v>
      </c>
      <c r="B1" s="14"/>
      <c r="C1" s="22"/>
      <c r="D1" s="14"/>
      <c r="E1" s="22"/>
      <c r="F1" s="22"/>
      <c r="G1" s="14"/>
      <c r="H1" s="14"/>
      <c r="I1" s="14"/>
      <c r="J1" s="14"/>
      <c r="K1" s="14"/>
      <c r="L1" s="14"/>
      <c r="M1" s="14"/>
      <c r="N1" s="25"/>
      <c r="O1" s="14"/>
      <c r="P1" s="14"/>
      <c r="Q1" s="14"/>
    </row>
    <row r="2" spans="1:17" ht="28" customHeight="1" x14ac:dyDescent="0.15">
      <c r="B2" s="14"/>
      <c r="C2" s="22"/>
      <c r="D2" s="10"/>
      <c r="E2" s="22"/>
      <c r="F2" s="26"/>
      <c r="G2" s="153" t="s">
        <v>10</v>
      </c>
      <c r="H2" s="154"/>
      <c r="I2" s="155"/>
      <c r="J2" s="10"/>
      <c r="K2" s="154" t="s">
        <v>6</v>
      </c>
      <c r="L2" s="154"/>
      <c r="M2" s="154"/>
      <c r="N2" s="150" t="s">
        <v>895</v>
      </c>
      <c r="O2" s="151"/>
      <c r="P2" s="151"/>
      <c r="Q2" s="151"/>
    </row>
    <row r="3" spans="1:17" x14ac:dyDescent="0.15">
      <c r="A3" s="22" t="s">
        <v>707</v>
      </c>
      <c r="B3" s="10" t="s">
        <v>0</v>
      </c>
      <c r="C3" s="22" t="s">
        <v>90</v>
      </c>
      <c r="D3" s="10" t="s">
        <v>1</v>
      </c>
      <c r="E3" s="22" t="s">
        <v>2</v>
      </c>
      <c r="F3" s="26" t="s">
        <v>843</v>
      </c>
      <c r="G3" s="27" t="s">
        <v>5</v>
      </c>
      <c r="H3" s="22" t="s">
        <v>9</v>
      </c>
      <c r="I3" s="26" t="s">
        <v>629</v>
      </c>
      <c r="J3" s="10" t="s">
        <v>4</v>
      </c>
      <c r="K3" s="14" t="s">
        <v>7</v>
      </c>
      <c r="L3" s="22" t="s">
        <v>8</v>
      </c>
      <c r="M3" s="22" t="s">
        <v>51</v>
      </c>
      <c r="N3" s="85" t="s">
        <v>90</v>
      </c>
      <c r="O3" s="14" t="s">
        <v>11</v>
      </c>
      <c r="P3" s="14" t="s">
        <v>12</v>
      </c>
      <c r="Q3" s="11" t="s">
        <v>13</v>
      </c>
    </row>
    <row r="4" spans="1:17" x14ac:dyDescent="0.15">
      <c r="A4" s="3">
        <v>119</v>
      </c>
      <c r="B4" s="42" t="s">
        <v>76</v>
      </c>
      <c r="C4" s="3">
        <v>1</v>
      </c>
      <c r="D4" s="2" t="s">
        <v>520</v>
      </c>
      <c r="E4" s="7">
        <v>1.4E-2</v>
      </c>
      <c r="F4" s="45">
        <v>2E-3</v>
      </c>
      <c r="G4" s="12">
        <v>5.6</v>
      </c>
      <c r="H4" s="3">
        <v>21</v>
      </c>
      <c r="I4" s="13" t="s">
        <v>148</v>
      </c>
      <c r="J4" s="2" t="s">
        <v>164</v>
      </c>
      <c r="K4" s="1" t="s">
        <v>133</v>
      </c>
      <c r="L4" s="3" t="s">
        <v>589</v>
      </c>
      <c r="M4" s="3" t="s">
        <v>206</v>
      </c>
      <c r="N4" s="54">
        <v>28</v>
      </c>
      <c r="O4" s="1" t="s">
        <v>193</v>
      </c>
      <c r="P4" s="1">
        <v>2004</v>
      </c>
      <c r="Q4" s="13" t="s">
        <v>194</v>
      </c>
    </row>
    <row r="5" spans="1:17" x14ac:dyDescent="0.15">
      <c r="A5" s="3">
        <v>80</v>
      </c>
      <c r="B5" s="42" t="s">
        <v>76</v>
      </c>
      <c r="D5" s="2" t="s">
        <v>610</v>
      </c>
      <c r="E5" s="6">
        <f>0.00238/0.001</f>
        <v>2.3800000000000003</v>
      </c>
      <c r="F5" s="46">
        <f>1.3/23.8*E5</f>
        <v>0.13000000000000003</v>
      </c>
      <c r="G5" s="12">
        <v>7.1</v>
      </c>
      <c r="H5" s="3">
        <v>21</v>
      </c>
      <c r="I5" s="13" t="s">
        <v>666</v>
      </c>
      <c r="J5" s="2" t="s">
        <v>142</v>
      </c>
      <c r="K5" s="1" t="s">
        <v>133</v>
      </c>
      <c r="L5" s="3" t="s">
        <v>165</v>
      </c>
      <c r="M5" s="3">
        <v>1E-3</v>
      </c>
      <c r="N5" s="54">
        <v>17</v>
      </c>
      <c r="O5" s="1" t="s">
        <v>138</v>
      </c>
      <c r="P5" s="1">
        <v>1999</v>
      </c>
      <c r="Q5" s="13" t="s">
        <v>144</v>
      </c>
    </row>
    <row r="6" spans="1:17" x14ac:dyDescent="0.15">
      <c r="A6" s="3">
        <v>99</v>
      </c>
      <c r="B6" s="42" t="s">
        <v>76</v>
      </c>
      <c r="D6" s="2" t="s">
        <v>610</v>
      </c>
      <c r="E6" s="6">
        <v>2.1</v>
      </c>
      <c r="F6" s="46">
        <v>0.2</v>
      </c>
      <c r="G6" s="12">
        <v>7</v>
      </c>
      <c r="H6" s="3">
        <v>20</v>
      </c>
      <c r="I6" s="13" t="s">
        <v>112</v>
      </c>
      <c r="J6" s="2" t="s">
        <v>164</v>
      </c>
      <c r="K6" s="1" t="s">
        <v>133</v>
      </c>
      <c r="L6" s="3" t="s">
        <v>673</v>
      </c>
      <c r="M6" s="3" t="s">
        <v>671</v>
      </c>
      <c r="N6" s="54">
        <v>22</v>
      </c>
      <c r="O6" s="1" t="s">
        <v>163</v>
      </c>
      <c r="P6" s="1">
        <v>2001</v>
      </c>
      <c r="Q6" s="13" t="s">
        <v>162</v>
      </c>
    </row>
    <row r="7" spans="1:17" x14ac:dyDescent="0.15">
      <c r="A7" s="3">
        <v>333</v>
      </c>
      <c r="B7" s="42" t="s">
        <v>76</v>
      </c>
      <c r="C7" s="3">
        <v>2</v>
      </c>
      <c r="D7" s="2" t="s">
        <v>610</v>
      </c>
      <c r="E7" s="6">
        <f>AVERAGE(E5:E6)</f>
        <v>2.2400000000000002</v>
      </c>
      <c r="F7" s="46">
        <f>SQRT(F5^2+F6^2)</f>
        <v>0.23853720883753129</v>
      </c>
      <c r="G7" s="12" t="s">
        <v>715</v>
      </c>
      <c r="H7" s="3">
        <v>21</v>
      </c>
      <c r="I7" s="13" t="s">
        <v>716</v>
      </c>
      <c r="J7" s="2"/>
      <c r="L7" s="3"/>
      <c r="M7" s="3"/>
      <c r="N7" s="54" t="s">
        <v>717</v>
      </c>
      <c r="Q7" s="13"/>
    </row>
    <row r="8" spans="1:17" x14ac:dyDescent="0.15">
      <c r="A8" s="3">
        <v>88</v>
      </c>
      <c r="B8" s="42" t="s">
        <v>30</v>
      </c>
      <c r="C8" s="3">
        <v>3</v>
      </c>
      <c r="D8" s="2" t="s">
        <v>516</v>
      </c>
      <c r="E8" s="4">
        <v>8.8999999999999995E-4</v>
      </c>
      <c r="F8" s="47">
        <v>3.0000000000000001E-5</v>
      </c>
      <c r="G8" s="12" t="s">
        <v>664</v>
      </c>
      <c r="H8" s="3">
        <v>20</v>
      </c>
      <c r="I8" s="13" t="s">
        <v>160</v>
      </c>
      <c r="J8" s="2" t="s">
        <v>661</v>
      </c>
      <c r="K8" s="1" t="s">
        <v>133</v>
      </c>
      <c r="L8" s="3" t="s">
        <v>75</v>
      </c>
      <c r="M8" s="3" t="s">
        <v>75</v>
      </c>
      <c r="N8" s="54">
        <v>90</v>
      </c>
      <c r="O8" s="1" t="s">
        <v>663</v>
      </c>
      <c r="P8" s="1">
        <v>1996</v>
      </c>
      <c r="Q8" s="13" t="s">
        <v>662</v>
      </c>
    </row>
    <row r="9" spans="1:17" x14ac:dyDescent="0.15">
      <c r="A9" s="3">
        <v>92</v>
      </c>
      <c r="B9" s="42" t="s">
        <v>30</v>
      </c>
      <c r="C9" s="3">
        <v>4</v>
      </c>
      <c r="D9" s="2" t="s">
        <v>158</v>
      </c>
      <c r="E9" s="4">
        <v>2.2799999999999999E-3</v>
      </c>
      <c r="F9" s="47">
        <v>9.0000000000000006E-5</v>
      </c>
      <c r="G9" s="12" t="s">
        <v>664</v>
      </c>
      <c r="H9" s="3">
        <v>20</v>
      </c>
      <c r="I9" s="13" t="s">
        <v>160</v>
      </c>
      <c r="J9" s="2" t="s">
        <v>661</v>
      </c>
      <c r="K9" s="1" t="s">
        <v>133</v>
      </c>
      <c r="L9" s="3" t="s">
        <v>75</v>
      </c>
      <c r="M9" s="3" t="s">
        <v>75</v>
      </c>
      <c r="N9" s="54">
        <v>90</v>
      </c>
      <c r="O9" s="1" t="s">
        <v>663</v>
      </c>
      <c r="P9" s="1">
        <v>1996</v>
      </c>
      <c r="Q9" s="13" t="s">
        <v>662</v>
      </c>
    </row>
    <row r="10" spans="1:17" x14ac:dyDescent="0.15">
      <c r="A10" s="3">
        <v>89</v>
      </c>
      <c r="B10" s="42" t="s">
        <v>30</v>
      </c>
      <c r="C10" s="3">
        <v>5</v>
      </c>
      <c r="D10" s="2" t="s">
        <v>517</v>
      </c>
      <c r="E10" s="4">
        <v>5.9999999999999995E-4</v>
      </c>
      <c r="F10" s="47">
        <v>3.0000000000000001E-5</v>
      </c>
      <c r="G10" s="12" t="s">
        <v>664</v>
      </c>
      <c r="H10" s="3">
        <v>20</v>
      </c>
      <c r="I10" s="13" t="s">
        <v>160</v>
      </c>
      <c r="J10" s="2" t="s">
        <v>661</v>
      </c>
      <c r="K10" s="1" t="s">
        <v>133</v>
      </c>
      <c r="L10" s="3" t="s">
        <v>75</v>
      </c>
      <c r="M10" s="3" t="s">
        <v>75</v>
      </c>
      <c r="N10" s="54">
        <v>90</v>
      </c>
      <c r="O10" s="1" t="s">
        <v>663</v>
      </c>
      <c r="P10" s="1">
        <v>1996</v>
      </c>
      <c r="Q10" s="13" t="s">
        <v>662</v>
      </c>
    </row>
    <row r="11" spans="1:17" x14ac:dyDescent="0.15">
      <c r="A11" s="3">
        <v>91</v>
      </c>
      <c r="B11" s="42" t="s">
        <v>30</v>
      </c>
      <c r="C11" s="3">
        <v>6</v>
      </c>
      <c r="D11" s="2" t="s">
        <v>159</v>
      </c>
      <c r="E11" s="4">
        <v>1.01E-3</v>
      </c>
      <c r="F11" s="47">
        <v>4.0000000000000003E-5</v>
      </c>
      <c r="G11" s="12" t="s">
        <v>664</v>
      </c>
      <c r="H11" s="3">
        <v>20</v>
      </c>
      <c r="I11" s="13" t="s">
        <v>160</v>
      </c>
      <c r="J11" s="2" t="s">
        <v>661</v>
      </c>
      <c r="K11" s="1" t="s">
        <v>133</v>
      </c>
      <c r="L11" s="3" t="s">
        <v>75</v>
      </c>
      <c r="M11" s="3" t="s">
        <v>75</v>
      </c>
      <c r="N11" s="54">
        <v>90</v>
      </c>
      <c r="O11" s="1" t="s">
        <v>663</v>
      </c>
      <c r="P11" s="1">
        <v>1996</v>
      </c>
      <c r="Q11" s="13" t="s">
        <v>662</v>
      </c>
    </row>
    <row r="12" spans="1:17" x14ac:dyDescent="0.15">
      <c r="A12" s="3">
        <v>90</v>
      </c>
      <c r="B12" s="42" t="s">
        <v>30</v>
      </c>
      <c r="C12" s="3">
        <v>7</v>
      </c>
      <c r="D12" s="2" t="s">
        <v>518</v>
      </c>
      <c r="E12" s="4">
        <v>1.15E-3</v>
      </c>
      <c r="F12" s="47">
        <v>5.0000000000000002E-5</v>
      </c>
      <c r="G12" s="12" t="s">
        <v>664</v>
      </c>
      <c r="H12" s="3">
        <v>20</v>
      </c>
      <c r="I12" s="13" t="s">
        <v>160</v>
      </c>
      <c r="J12" s="2" t="s">
        <v>661</v>
      </c>
      <c r="K12" s="1" t="s">
        <v>133</v>
      </c>
      <c r="L12" s="3" t="s">
        <v>75</v>
      </c>
      <c r="M12" s="3" t="s">
        <v>75</v>
      </c>
      <c r="N12" s="54">
        <v>90</v>
      </c>
      <c r="O12" s="1" t="s">
        <v>663</v>
      </c>
      <c r="P12" s="1">
        <v>1996</v>
      </c>
      <c r="Q12" s="13" t="s">
        <v>662</v>
      </c>
    </row>
    <row r="13" spans="1:17" x14ac:dyDescent="0.15">
      <c r="A13" s="3">
        <v>134</v>
      </c>
      <c r="B13" s="42" t="s">
        <v>76</v>
      </c>
      <c r="C13" s="3">
        <v>8</v>
      </c>
      <c r="D13" s="2" t="s">
        <v>230</v>
      </c>
      <c r="E13" s="4">
        <v>4.1900000000000002E-5</v>
      </c>
      <c r="F13" s="47"/>
      <c r="G13" s="29">
        <v>7</v>
      </c>
      <c r="H13" s="5">
        <v>25</v>
      </c>
      <c r="I13" s="30" t="s">
        <v>112</v>
      </c>
      <c r="J13" s="2" t="s">
        <v>23</v>
      </c>
      <c r="K13" s="1" t="s">
        <v>24</v>
      </c>
      <c r="L13" s="3" t="s">
        <v>231</v>
      </c>
      <c r="M13" s="3" t="s">
        <v>232</v>
      </c>
      <c r="N13" s="54">
        <v>31</v>
      </c>
      <c r="O13" s="1" t="s">
        <v>222</v>
      </c>
      <c r="P13" s="1">
        <v>2006</v>
      </c>
      <c r="Q13" s="13" t="s">
        <v>223</v>
      </c>
    </row>
    <row r="14" spans="1:17" x14ac:dyDescent="0.15">
      <c r="A14" s="3">
        <v>238</v>
      </c>
      <c r="B14" s="42" t="s">
        <v>188</v>
      </c>
      <c r="C14" s="3">
        <v>9</v>
      </c>
      <c r="D14" s="2" t="s">
        <v>372</v>
      </c>
      <c r="E14" s="8">
        <v>81.900000000000006</v>
      </c>
      <c r="F14" s="48"/>
      <c r="G14" s="12">
        <v>7</v>
      </c>
      <c r="H14" s="3">
        <v>25</v>
      </c>
      <c r="I14" s="13" t="s">
        <v>355</v>
      </c>
      <c r="J14" s="2" t="s">
        <v>376</v>
      </c>
      <c r="K14" s="1" t="s">
        <v>133</v>
      </c>
      <c r="L14" s="3" t="s">
        <v>165</v>
      </c>
      <c r="M14" s="3" t="s">
        <v>374</v>
      </c>
      <c r="N14" s="54">
        <v>48</v>
      </c>
      <c r="O14" s="1" t="s">
        <v>285</v>
      </c>
      <c r="P14" s="1">
        <v>2012</v>
      </c>
      <c r="Q14" s="13" t="s">
        <v>370</v>
      </c>
    </row>
    <row r="15" spans="1:17" x14ac:dyDescent="0.15">
      <c r="A15" s="3">
        <v>296</v>
      </c>
      <c r="B15" s="42" t="s">
        <v>30</v>
      </c>
      <c r="C15" s="3">
        <v>10</v>
      </c>
      <c r="D15" s="2" t="s">
        <v>521</v>
      </c>
      <c r="E15" s="6">
        <v>1.1000000000000001</v>
      </c>
      <c r="F15" s="46">
        <v>0.1</v>
      </c>
      <c r="G15" s="12">
        <v>5.6</v>
      </c>
      <c r="H15" s="3">
        <v>23</v>
      </c>
      <c r="I15" s="13" t="s">
        <v>148</v>
      </c>
      <c r="J15" s="2" t="s">
        <v>23</v>
      </c>
      <c r="K15" s="1" t="s">
        <v>24</v>
      </c>
      <c r="L15" s="3" t="s">
        <v>477</v>
      </c>
      <c r="M15" s="3" t="s">
        <v>349</v>
      </c>
      <c r="N15" s="54">
        <v>73</v>
      </c>
      <c r="O15" s="1" t="s">
        <v>470</v>
      </c>
      <c r="P15" s="1">
        <v>2019</v>
      </c>
      <c r="Q15" s="13" t="s">
        <v>469</v>
      </c>
    </row>
    <row r="16" spans="1:17" x14ac:dyDescent="0.15">
      <c r="A16" s="3">
        <v>306</v>
      </c>
      <c r="B16" s="42" t="s">
        <v>30</v>
      </c>
      <c r="C16" s="3">
        <v>11</v>
      </c>
      <c r="D16" s="2" t="s">
        <v>494</v>
      </c>
      <c r="E16" s="6">
        <v>0.76</v>
      </c>
      <c r="F16" s="46"/>
      <c r="G16" s="12">
        <v>7</v>
      </c>
      <c r="H16" s="3">
        <v>25</v>
      </c>
      <c r="I16" s="13" t="s">
        <v>401</v>
      </c>
      <c r="J16" s="2" t="s">
        <v>185</v>
      </c>
      <c r="K16" s="1" t="s">
        <v>133</v>
      </c>
      <c r="L16" s="3" t="s">
        <v>489</v>
      </c>
      <c r="M16" s="3" t="s">
        <v>488</v>
      </c>
      <c r="N16" s="54">
        <v>76</v>
      </c>
      <c r="O16" s="1" t="s">
        <v>413</v>
      </c>
      <c r="P16" s="1">
        <v>2019</v>
      </c>
      <c r="Q16" s="13" t="s">
        <v>487</v>
      </c>
    </row>
    <row r="17" spans="1:17" x14ac:dyDescent="0.15">
      <c r="A17" s="3">
        <v>252</v>
      </c>
      <c r="B17" s="42" t="s">
        <v>30</v>
      </c>
      <c r="D17" s="2" t="s">
        <v>396</v>
      </c>
      <c r="E17" s="8">
        <v>37</v>
      </c>
      <c r="F17" s="9">
        <v>4</v>
      </c>
      <c r="G17" s="12">
        <v>7</v>
      </c>
      <c r="H17" s="3">
        <v>25</v>
      </c>
      <c r="I17" s="13" t="s">
        <v>401</v>
      </c>
      <c r="J17" s="2" t="s">
        <v>185</v>
      </c>
      <c r="K17" s="1" t="s">
        <v>133</v>
      </c>
      <c r="L17" s="3" t="s">
        <v>403</v>
      </c>
      <c r="M17" s="3" t="s">
        <v>402</v>
      </c>
      <c r="N17" s="54">
        <v>54</v>
      </c>
      <c r="O17" s="1" t="s">
        <v>285</v>
      </c>
      <c r="P17" s="1">
        <v>2014</v>
      </c>
      <c r="Q17" s="13" t="s">
        <v>395</v>
      </c>
    </row>
    <row r="18" spans="1:17" x14ac:dyDescent="0.15">
      <c r="A18" s="3">
        <v>277</v>
      </c>
      <c r="B18" s="42" t="s">
        <v>30</v>
      </c>
      <c r="D18" s="2" t="s">
        <v>396</v>
      </c>
      <c r="E18" s="8">
        <v>23</v>
      </c>
      <c r="F18" s="48">
        <v>1.7</v>
      </c>
      <c r="G18" s="12">
        <v>7</v>
      </c>
      <c r="H18" s="3">
        <v>25</v>
      </c>
      <c r="I18" s="13" t="s">
        <v>452</v>
      </c>
      <c r="J18" s="2" t="s">
        <v>185</v>
      </c>
      <c r="K18" s="1" t="s">
        <v>133</v>
      </c>
      <c r="L18" s="3" t="s">
        <v>456</v>
      </c>
      <c r="M18" s="3" t="s">
        <v>453</v>
      </c>
      <c r="N18" s="54">
        <v>67</v>
      </c>
      <c r="O18" s="1" t="s">
        <v>449</v>
      </c>
      <c r="P18" s="1">
        <v>2018</v>
      </c>
      <c r="Q18" s="13" t="s">
        <v>448</v>
      </c>
    </row>
    <row r="19" spans="1:17" x14ac:dyDescent="0.15">
      <c r="A19" s="3">
        <v>334</v>
      </c>
      <c r="B19" s="42" t="s">
        <v>30</v>
      </c>
      <c r="C19" s="3">
        <v>12</v>
      </c>
      <c r="D19" s="2" t="s">
        <v>396</v>
      </c>
      <c r="E19" s="8">
        <f>AVERAGE(E17:E18)</f>
        <v>30</v>
      </c>
      <c r="F19" s="46">
        <f>STDEV(E17:E18)</f>
        <v>9.8994949366116654</v>
      </c>
      <c r="G19" s="12">
        <v>7</v>
      </c>
      <c r="H19" s="3">
        <v>25</v>
      </c>
      <c r="I19" s="13" t="s">
        <v>718</v>
      </c>
      <c r="J19" s="2"/>
      <c r="L19" s="3"/>
      <c r="M19" s="3"/>
      <c r="N19" s="54" t="s">
        <v>719</v>
      </c>
      <c r="Q19" s="13"/>
    </row>
    <row r="20" spans="1:17" x14ac:dyDescent="0.15">
      <c r="A20" s="3">
        <v>303</v>
      </c>
      <c r="B20" s="42" t="s">
        <v>30</v>
      </c>
      <c r="C20" s="3">
        <v>13</v>
      </c>
      <c r="D20" s="2" t="s">
        <v>490</v>
      </c>
      <c r="E20" s="6">
        <v>0.67</v>
      </c>
      <c r="F20" s="46"/>
      <c r="G20" s="12">
        <v>7</v>
      </c>
      <c r="H20" s="3">
        <v>25</v>
      </c>
      <c r="I20" s="13" t="s">
        <v>401</v>
      </c>
      <c r="J20" s="2" t="s">
        <v>185</v>
      </c>
      <c r="K20" s="1" t="s">
        <v>133</v>
      </c>
      <c r="L20" s="3" t="s">
        <v>489</v>
      </c>
      <c r="M20" s="3" t="s">
        <v>488</v>
      </c>
      <c r="N20" s="54">
        <v>76</v>
      </c>
      <c r="O20" s="1" t="s">
        <v>413</v>
      </c>
      <c r="P20" s="1">
        <v>2019</v>
      </c>
      <c r="Q20" s="13" t="s">
        <v>487</v>
      </c>
    </row>
    <row r="21" spans="1:17" x14ac:dyDescent="0.15">
      <c r="A21" s="3">
        <v>145</v>
      </c>
      <c r="B21" s="42" t="s">
        <v>30</v>
      </c>
      <c r="C21" s="3">
        <v>14.1</v>
      </c>
      <c r="D21" s="2" t="s">
        <v>249</v>
      </c>
      <c r="E21" s="8">
        <v>74</v>
      </c>
      <c r="F21" s="48">
        <v>7</v>
      </c>
      <c r="G21" s="29">
        <v>7</v>
      </c>
      <c r="H21" s="5">
        <v>25</v>
      </c>
      <c r="I21" s="30" t="s">
        <v>112</v>
      </c>
      <c r="J21" s="2" t="s">
        <v>23</v>
      </c>
      <c r="K21" s="1" t="s">
        <v>24</v>
      </c>
      <c r="L21" s="3" t="s">
        <v>250</v>
      </c>
      <c r="M21" s="3" t="s">
        <v>251</v>
      </c>
      <c r="N21" s="54">
        <v>31</v>
      </c>
      <c r="O21" s="1" t="s">
        <v>222</v>
      </c>
      <c r="P21" s="1">
        <v>2006</v>
      </c>
      <c r="Q21" s="13" t="s">
        <v>223</v>
      </c>
    </row>
    <row r="22" spans="1:17" x14ac:dyDescent="0.15">
      <c r="A22" s="3">
        <v>212</v>
      </c>
      <c r="B22" s="42" t="s">
        <v>30</v>
      </c>
      <c r="D22" s="2" t="s">
        <v>249</v>
      </c>
      <c r="E22" s="8">
        <v>13.58</v>
      </c>
      <c r="F22" s="48"/>
      <c r="G22" s="12">
        <v>7</v>
      </c>
      <c r="H22" s="3">
        <v>19</v>
      </c>
      <c r="I22" s="13" t="s">
        <v>346</v>
      </c>
      <c r="J22" s="2" t="s">
        <v>185</v>
      </c>
      <c r="K22" s="1" t="s">
        <v>133</v>
      </c>
      <c r="L22" s="3">
        <v>5</v>
      </c>
      <c r="M22" s="3">
        <v>5.0000000000000002E-5</v>
      </c>
      <c r="N22" s="54">
        <v>41</v>
      </c>
      <c r="O22" s="1" t="s">
        <v>278</v>
      </c>
      <c r="P22" s="1">
        <v>2010</v>
      </c>
      <c r="Q22" s="13" t="s">
        <v>345</v>
      </c>
    </row>
    <row r="23" spans="1:17" x14ac:dyDescent="0.15">
      <c r="A23" s="3">
        <v>222</v>
      </c>
      <c r="B23" s="42" t="s">
        <v>30</v>
      </c>
      <c r="D23" s="2" t="s">
        <v>249</v>
      </c>
      <c r="E23" s="8">
        <v>16.2</v>
      </c>
      <c r="F23" s="48">
        <f>0.206/24.3*E23</f>
        <v>0.13733333333333334</v>
      </c>
      <c r="G23" s="12">
        <v>5.3</v>
      </c>
      <c r="H23" s="3">
        <v>22</v>
      </c>
      <c r="I23" s="13" t="s">
        <v>686</v>
      </c>
      <c r="J23" s="2" t="s">
        <v>23</v>
      </c>
      <c r="K23" s="1" t="s">
        <v>133</v>
      </c>
      <c r="L23" s="3">
        <v>9.4</v>
      </c>
      <c r="M23" s="3">
        <v>1.5E-3</v>
      </c>
      <c r="N23" s="54">
        <v>46</v>
      </c>
      <c r="O23" s="1" t="s">
        <v>362</v>
      </c>
      <c r="P23" s="1">
        <v>2011</v>
      </c>
      <c r="Q23" s="13" t="s">
        <v>361</v>
      </c>
    </row>
    <row r="24" spans="1:17" x14ac:dyDescent="0.15">
      <c r="A24" s="3">
        <v>228</v>
      </c>
      <c r="B24" s="42" t="s">
        <v>30</v>
      </c>
      <c r="D24" s="2" t="s">
        <v>249</v>
      </c>
      <c r="E24" s="8">
        <v>24.1</v>
      </c>
      <c r="F24" s="48"/>
      <c r="G24" s="12">
        <v>7</v>
      </c>
      <c r="H24" s="3">
        <v>25</v>
      </c>
      <c r="I24" s="13" t="s">
        <v>368</v>
      </c>
      <c r="J24" s="2" t="s">
        <v>185</v>
      </c>
      <c r="K24" s="1" t="s">
        <v>133</v>
      </c>
      <c r="L24" s="3">
        <v>10</v>
      </c>
      <c r="M24" s="3">
        <v>5.0000000000000002E-5</v>
      </c>
      <c r="N24" s="54">
        <v>47</v>
      </c>
      <c r="O24" s="1" t="s">
        <v>364</v>
      </c>
      <c r="P24" s="1">
        <v>2012</v>
      </c>
      <c r="Q24" s="13" t="s">
        <v>363</v>
      </c>
    </row>
    <row r="25" spans="1:17" x14ac:dyDescent="0.15">
      <c r="A25" s="3">
        <v>335</v>
      </c>
      <c r="B25" s="42" t="s">
        <v>30</v>
      </c>
      <c r="C25" s="3">
        <v>14</v>
      </c>
      <c r="D25" s="2" t="s">
        <v>249</v>
      </c>
      <c r="E25" s="8">
        <f>AVERAGE(E22:E24)</f>
        <v>17.96</v>
      </c>
      <c r="F25" s="48">
        <f>STDEV(E22:E24)</f>
        <v>5.4763856693991135</v>
      </c>
      <c r="G25" s="12" t="s">
        <v>721</v>
      </c>
      <c r="H25" s="3" t="s">
        <v>722</v>
      </c>
      <c r="I25" s="13" t="s">
        <v>148</v>
      </c>
      <c r="J25" s="2"/>
      <c r="L25" s="3"/>
      <c r="M25" s="3"/>
      <c r="N25" s="54" t="s">
        <v>720</v>
      </c>
      <c r="Q25" s="13"/>
    </row>
    <row r="26" spans="1:17" x14ac:dyDescent="0.15">
      <c r="A26" s="3">
        <v>23</v>
      </c>
      <c r="B26" s="42" t="s">
        <v>30</v>
      </c>
      <c r="C26" s="3">
        <v>15</v>
      </c>
      <c r="D26" s="2" t="s">
        <v>72</v>
      </c>
      <c r="E26" s="4">
        <v>3.9100000000000002E-4</v>
      </c>
      <c r="F26" s="47"/>
      <c r="G26" s="12">
        <v>4.5999999999999996</v>
      </c>
      <c r="H26" s="3">
        <v>20</v>
      </c>
      <c r="I26" s="13" t="s">
        <v>66</v>
      </c>
      <c r="J26" s="2" t="s">
        <v>68</v>
      </c>
      <c r="K26" s="1" t="s">
        <v>24</v>
      </c>
      <c r="L26" s="5">
        <v>14.2</v>
      </c>
      <c r="M26" s="3">
        <v>0.13100000000000001</v>
      </c>
      <c r="N26" s="54">
        <v>3</v>
      </c>
      <c r="O26" s="1" t="s">
        <v>64</v>
      </c>
      <c r="P26" s="1">
        <v>1967</v>
      </c>
      <c r="Q26" s="13" t="s">
        <v>65</v>
      </c>
    </row>
    <row r="27" spans="1:17" x14ac:dyDescent="0.15">
      <c r="A27" s="3">
        <v>120</v>
      </c>
      <c r="B27" s="42" t="s">
        <v>76</v>
      </c>
      <c r="C27" s="3">
        <v>16</v>
      </c>
      <c r="D27" s="2" t="s">
        <v>522</v>
      </c>
      <c r="E27" s="7">
        <v>1.7999999999999999E-2</v>
      </c>
      <c r="F27" s="45">
        <v>3.0000000000000001E-3</v>
      </c>
      <c r="G27" s="12">
        <v>5.6</v>
      </c>
      <c r="H27" s="3">
        <v>21</v>
      </c>
      <c r="I27" s="13" t="s">
        <v>148</v>
      </c>
      <c r="J27" s="2" t="s">
        <v>164</v>
      </c>
      <c r="K27" s="1" t="s">
        <v>133</v>
      </c>
      <c r="L27" s="3" t="s">
        <v>590</v>
      </c>
      <c r="M27" s="3" t="s">
        <v>206</v>
      </c>
      <c r="N27" s="54">
        <v>28</v>
      </c>
      <c r="O27" s="1" t="s">
        <v>193</v>
      </c>
      <c r="P27" s="1">
        <v>2004</v>
      </c>
      <c r="Q27" s="13" t="s">
        <v>194</v>
      </c>
    </row>
    <row r="28" spans="1:17" x14ac:dyDescent="0.15">
      <c r="A28" s="3">
        <v>282</v>
      </c>
      <c r="B28" s="42" t="s">
        <v>76</v>
      </c>
      <c r="C28" s="3">
        <v>17</v>
      </c>
      <c r="D28" s="2" t="s">
        <v>523</v>
      </c>
      <c r="E28" s="8">
        <v>85.1</v>
      </c>
      <c r="F28" s="48">
        <v>6.1</v>
      </c>
      <c r="G28" s="12">
        <v>7</v>
      </c>
      <c r="H28" s="3">
        <v>25</v>
      </c>
      <c r="I28" s="13" t="s">
        <v>452</v>
      </c>
      <c r="J28" s="2" t="s">
        <v>185</v>
      </c>
      <c r="K28" s="1" t="s">
        <v>133</v>
      </c>
      <c r="L28" s="3" t="s">
        <v>456</v>
      </c>
      <c r="M28" s="3" t="s">
        <v>453</v>
      </c>
      <c r="N28" s="54">
        <v>67</v>
      </c>
      <c r="O28" s="1" t="s">
        <v>449</v>
      </c>
      <c r="P28" s="1">
        <v>2018</v>
      </c>
      <c r="Q28" s="13" t="s">
        <v>448</v>
      </c>
    </row>
    <row r="29" spans="1:17" x14ac:dyDescent="0.15">
      <c r="A29" s="3">
        <v>41</v>
      </c>
      <c r="B29" s="42" t="s">
        <v>30</v>
      </c>
      <c r="C29" s="3">
        <v>18</v>
      </c>
      <c r="D29" s="2" t="s">
        <v>524</v>
      </c>
      <c r="E29" s="7">
        <f>0.0346</f>
        <v>3.4599999999999999E-2</v>
      </c>
      <c r="F29" s="45"/>
      <c r="G29" s="12">
        <v>6.8</v>
      </c>
      <c r="H29" s="3">
        <v>35</v>
      </c>
      <c r="I29" s="13" t="s">
        <v>652</v>
      </c>
      <c r="J29" s="2" t="s">
        <v>68</v>
      </c>
      <c r="K29" s="1" t="s">
        <v>24</v>
      </c>
      <c r="L29" s="5">
        <f>M29/0.0002</f>
        <v>5.2899999999999991</v>
      </c>
      <c r="M29" s="3">
        <v>1.0579999999999999E-3</v>
      </c>
      <c r="N29" s="54">
        <v>8</v>
      </c>
      <c r="O29" s="1" t="s">
        <v>94</v>
      </c>
      <c r="P29" s="1">
        <v>1976</v>
      </c>
      <c r="Q29" s="13" t="s">
        <v>95</v>
      </c>
    </row>
    <row r="30" spans="1:17" x14ac:dyDescent="0.15">
      <c r="A30" s="3">
        <v>38</v>
      </c>
      <c r="B30" s="42" t="s">
        <v>30</v>
      </c>
      <c r="D30" s="2" t="s">
        <v>525</v>
      </c>
      <c r="E30" s="6">
        <f>0.305</f>
        <v>0.30499999999999999</v>
      </c>
      <c r="F30" s="46"/>
      <c r="G30" s="12">
        <v>6.8</v>
      </c>
      <c r="H30" s="3">
        <v>35</v>
      </c>
      <c r="I30" s="13" t="s">
        <v>652</v>
      </c>
      <c r="J30" s="2" t="s">
        <v>68</v>
      </c>
      <c r="K30" s="1" t="s">
        <v>24</v>
      </c>
      <c r="L30" s="5">
        <f>M30/0.0002</f>
        <v>6.2749999999999995</v>
      </c>
      <c r="M30" s="3">
        <v>1.255E-3</v>
      </c>
      <c r="N30" s="54">
        <v>8</v>
      </c>
      <c r="O30" s="1" t="s">
        <v>94</v>
      </c>
      <c r="P30" s="1">
        <v>1976</v>
      </c>
      <c r="Q30" s="13" t="s">
        <v>95</v>
      </c>
    </row>
    <row r="31" spans="1:17" x14ac:dyDescent="0.15">
      <c r="A31" s="3">
        <v>139</v>
      </c>
      <c r="B31" s="42" t="s">
        <v>30</v>
      </c>
      <c r="D31" s="2" t="s">
        <v>525</v>
      </c>
      <c r="E31" s="6">
        <v>0.24299999999999999</v>
      </c>
      <c r="F31" s="46"/>
      <c r="G31" s="29">
        <v>7</v>
      </c>
      <c r="H31" s="5">
        <v>25</v>
      </c>
      <c r="I31" s="30" t="s">
        <v>112</v>
      </c>
      <c r="J31" s="2" t="s">
        <v>23</v>
      </c>
      <c r="K31" s="1" t="s">
        <v>24</v>
      </c>
      <c r="L31" s="3">
        <v>5</v>
      </c>
      <c r="M31" s="3">
        <v>2E-3</v>
      </c>
      <c r="N31" s="54">
        <v>31</v>
      </c>
      <c r="O31" s="1" t="s">
        <v>222</v>
      </c>
      <c r="P31" s="1">
        <v>2006</v>
      </c>
      <c r="Q31" s="13" t="s">
        <v>223</v>
      </c>
    </row>
    <row r="32" spans="1:17" x14ac:dyDescent="0.15">
      <c r="A32" s="3">
        <v>336</v>
      </c>
      <c r="B32" s="42" t="s">
        <v>30</v>
      </c>
      <c r="C32" s="3">
        <v>19</v>
      </c>
      <c r="D32" s="2" t="s">
        <v>525</v>
      </c>
      <c r="E32" s="6">
        <f>AVERAGE(E30:E31)</f>
        <v>0.27400000000000002</v>
      </c>
      <c r="F32" s="46">
        <f>STDEV(E30:E31)</f>
        <v>4.3840620433565396E-2</v>
      </c>
      <c r="G32" s="29" t="s">
        <v>723</v>
      </c>
      <c r="H32" s="5" t="s">
        <v>724</v>
      </c>
      <c r="I32" s="30" t="s">
        <v>725</v>
      </c>
      <c r="J32" s="2"/>
      <c r="L32" s="3"/>
      <c r="M32" s="3"/>
      <c r="N32" s="54" t="s">
        <v>726</v>
      </c>
      <c r="Q32" s="13"/>
    </row>
    <row r="33" spans="1:17" x14ac:dyDescent="0.15">
      <c r="A33" s="3">
        <v>11</v>
      </c>
      <c r="B33" s="42" t="s">
        <v>30</v>
      </c>
      <c r="C33" s="3">
        <v>20</v>
      </c>
      <c r="D33" s="2" t="s">
        <v>638</v>
      </c>
      <c r="E33" s="5">
        <v>242</v>
      </c>
      <c r="F33" s="9">
        <v>12</v>
      </c>
      <c r="G33" s="12">
        <v>13</v>
      </c>
      <c r="H33" s="3">
        <v>25</v>
      </c>
      <c r="I33" s="13" t="s">
        <v>47</v>
      </c>
      <c r="J33" s="2" t="s">
        <v>23</v>
      </c>
      <c r="K33" s="1" t="s">
        <v>24</v>
      </c>
      <c r="L33" s="3" t="s">
        <v>55</v>
      </c>
      <c r="M33" s="3" t="s">
        <v>54</v>
      </c>
      <c r="N33" s="54">
        <v>2</v>
      </c>
      <c r="O33" s="1" t="s">
        <v>19</v>
      </c>
      <c r="P33" s="1">
        <v>1966</v>
      </c>
      <c r="Q33" s="13" t="s">
        <v>45</v>
      </c>
    </row>
    <row r="34" spans="1:17" x14ac:dyDescent="0.15">
      <c r="A34" s="3">
        <v>231</v>
      </c>
      <c r="B34" s="42" t="s">
        <v>30</v>
      </c>
      <c r="C34" s="3">
        <v>21</v>
      </c>
      <c r="D34" s="2" t="s">
        <v>365</v>
      </c>
      <c r="E34" s="6">
        <v>9.43</v>
      </c>
      <c r="F34" s="46"/>
      <c r="G34" s="12">
        <v>7</v>
      </c>
      <c r="H34" s="3">
        <v>25</v>
      </c>
      <c r="I34" s="13" t="s">
        <v>368</v>
      </c>
      <c r="J34" s="2" t="s">
        <v>185</v>
      </c>
      <c r="K34" s="1" t="s">
        <v>133</v>
      </c>
      <c r="L34" s="3">
        <v>10</v>
      </c>
      <c r="M34" s="3">
        <v>5.0000000000000002E-5</v>
      </c>
      <c r="N34" s="54">
        <v>47</v>
      </c>
      <c r="O34" s="1" t="s">
        <v>364</v>
      </c>
      <c r="P34" s="1">
        <v>2012</v>
      </c>
      <c r="Q34" s="13" t="s">
        <v>363</v>
      </c>
    </row>
    <row r="35" spans="1:17" x14ac:dyDescent="0.15">
      <c r="A35" s="3">
        <v>144</v>
      </c>
      <c r="B35" s="42" t="s">
        <v>76</v>
      </c>
      <c r="C35" s="3">
        <v>22</v>
      </c>
      <c r="D35" s="2" t="s">
        <v>247</v>
      </c>
      <c r="E35" s="8">
        <v>77</v>
      </c>
      <c r="F35" s="48">
        <v>5</v>
      </c>
      <c r="G35" s="29">
        <v>7</v>
      </c>
      <c r="H35" s="5">
        <v>25</v>
      </c>
      <c r="I35" s="30" t="s">
        <v>112</v>
      </c>
      <c r="J35" s="2" t="s">
        <v>23</v>
      </c>
      <c r="K35" s="1" t="s">
        <v>24</v>
      </c>
      <c r="L35" s="3" t="s">
        <v>97</v>
      </c>
      <c r="M35" s="3" t="s">
        <v>248</v>
      </c>
      <c r="N35" s="54">
        <v>31</v>
      </c>
      <c r="O35" s="1" t="s">
        <v>222</v>
      </c>
      <c r="P35" s="1">
        <v>2006</v>
      </c>
      <c r="Q35" s="13" t="s">
        <v>223</v>
      </c>
    </row>
    <row r="36" spans="1:17" x14ac:dyDescent="0.15">
      <c r="A36" s="3">
        <v>255</v>
      </c>
      <c r="B36" s="42" t="s">
        <v>30</v>
      </c>
      <c r="C36" s="3">
        <v>23</v>
      </c>
      <c r="D36" s="2" t="s">
        <v>399</v>
      </c>
      <c r="E36" s="8">
        <v>17</v>
      </c>
      <c r="F36" s="9">
        <v>4</v>
      </c>
      <c r="G36" s="12">
        <v>7</v>
      </c>
      <c r="H36" s="3">
        <v>25</v>
      </c>
      <c r="I36" s="13" t="s">
        <v>401</v>
      </c>
      <c r="J36" s="2" t="s">
        <v>185</v>
      </c>
      <c r="K36" s="1" t="s">
        <v>133</v>
      </c>
      <c r="L36" s="3" t="s">
        <v>403</v>
      </c>
      <c r="M36" s="3" t="s">
        <v>402</v>
      </c>
      <c r="N36" s="54">
        <v>54</v>
      </c>
      <c r="O36" s="1" t="s">
        <v>285</v>
      </c>
      <c r="P36" s="1">
        <v>2014</v>
      </c>
      <c r="Q36" s="13" t="s">
        <v>395</v>
      </c>
    </row>
    <row r="37" spans="1:17" x14ac:dyDescent="0.15">
      <c r="A37" s="3">
        <v>107</v>
      </c>
      <c r="B37" s="42" t="s">
        <v>30</v>
      </c>
      <c r="C37" s="3">
        <v>24.2</v>
      </c>
      <c r="D37" s="2" t="s">
        <v>180</v>
      </c>
      <c r="E37" s="8">
        <f>0.0334/60/(0.002/158)</f>
        <v>43.976666666666667</v>
      </c>
      <c r="F37" s="48"/>
      <c r="G37" s="12">
        <v>7.2</v>
      </c>
      <c r="H37" s="3">
        <v>16</v>
      </c>
      <c r="I37" s="13" t="s">
        <v>178</v>
      </c>
      <c r="J37" s="2" t="s">
        <v>136</v>
      </c>
      <c r="K37" s="1" t="s">
        <v>133</v>
      </c>
      <c r="L37" s="5">
        <f>13/(100/163)</f>
        <v>21.19</v>
      </c>
      <c r="M37" s="3">
        <v>1.2999999999999999E-5</v>
      </c>
      <c r="N37" s="54">
        <v>25</v>
      </c>
      <c r="O37" s="1" t="s">
        <v>177</v>
      </c>
      <c r="P37" s="1">
        <v>2003</v>
      </c>
      <c r="Q37" s="13" t="s">
        <v>176</v>
      </c>
    </row>
    <row r="38" spans="1:17" x14ac:dyDescent="0.15">
      <c r="A38" s="3">
        <v>147</v>
      </c>
      <c r="B38" s="42" t="s">
        <v>30</v>
      </c>
      <c r="C38" s="3">
        <v>24.3</v>
      </c>
      <c r="D38" s="2" t="s">
        <v>180</v>
      </c>
      <c r="E38" s="5">
        <v>142</v>
      </c>
      <c r="F38" s="9">
        <v>3</v>
      </c>
      <c r="G38" s="29">
        <v>7</v>
      </c>
      <c r="H38" s="5">
        <v>25</v>
      </c>
      <c r="I38" s="30" t="s">
        <v>112</v>
      </c>
      <c r="J38" s="2" t="s">
        <v>23</v>
      </c>
      <c r="K38" s="1" t="s">
        <v>24</v>
      </c>
      <c r="L38" s="3" t="s">
        <v>97</v>
      </c>
      <c r="M38" s="3" t="s">
        <v>248</v>
      </c>
      <c r="N38" s="54">
        <v>31</v>
      </c>
      <c r="O38" s="1" t="s">
        <v>222</v>
      </c>
      <c r="P38" s="1">
        <v>2006</v>
      </c>
      <c r="Q38" s="13" t="s">
        <v>223</v>
      </c>
    </row>
    <row r="39" spans="1:17" x14ac:dyDescent="0.15">
      <c r="A39" s="3">
        <v>163</v>
      </c>
      <c r="B39" s="42" t="s">
        <v>30</v>
      </c>
      <c r="D39" s="2" t="s">
        <v>180</v>
      </c>
      <c r="E39" s="8">
        <v>19.100000000000001</v>
      </c>
      <c r="F39" s="48">
        <f>0.05*E39</f>
        <v>0.95500000000000007</v>
      </c>
      <c r="G39" s="12">
        <v>7</v>
      </c>
      <c r="H39" s="3">
        <v>23</v>
      </c>
      <c r="I39" s="13" t="s">
        <v>289</v>
      </c>
      <c r="J39" s="2" t="s">
        <v>185</v>
      </c>
      <c r="K39" s="1" t="s">
        <v>133</v>
      </c>
      <c r="L39" s="3" t="s">
        <v>75</v>
      </c>
      <c r="M39" s="3" t="s">
        <v>75</v>
      </c>
      <c r="N39" s="54">
        <v>37</v>
      </c>
      <c r="O39" s="1" t="s">
        <v>285</v>
      </c>
      <c r="P39" s="1">
        <v>2009</v>
      </c>
      <c r="Q39" s="13" t="s">
        <v>284</v>
      </c>
    </row>
    <row r="40" spans="1:17" x14ac:dyDescent="0.15">
      <c r="A40" s="3">
        <v>225</v>
      </c>
      <c r="B40" s="42" t="s">
        <v>30</v>
      </c>
      <c r="C40" s="3">
        <v>24.1</v>
      </c>
      <c r="D40" s="2" t="s">
        <v>180</v>
      </c>
      <c r="E40" s="6">
        <v>3.8</v>
      </c>
      <c r="F40" s="46">
        <f>0.0479/5.74*E40</f>
        <v>3.171080139372822E-2</v>
      </c>
      <c r="G40" s="12">
        <v>5.3</v>
      </c>
      <c r="H40" s="3">
        <v>22</v>
      </c>
      <c r="I40" s="13" t="s">
        <v>686</v>
      </c>
      <c r="J40" s="2" t="s">
        <v>23</v>
      </c>
      <c r="K40" s="1" t="s">
        <v>133</v>
      </c>
      <c r="L40" s="3">
        <v>9.4</v>
      </c>
      <c r="M40" s="3">
        <v>1.5E-3</v>
      </c>
      <c r="N40" s="54">
        <v>46</v>
      </c>
      <c r="O40" s="1" t="s">
        <v>362</v>
      </c>
      <c r="P40" s="1">
        <v>2011</v>
      </c>
      <c r="Q40" s="13" t="s">
        <v>361</v>
      </c>
    </row>
    <row r="41" spans="1:17" x14ac:dyDescent="0.15">
      <c r="A41" s="3">
        <v>232</v>
      </c>
      <c r="B41" s="42" t="s">
        <v>30</v>
      </c>
      <c r="D41" s="2" t="s">
        <v>180</v>
      </c>
      <c r="E41" s="8">
        <v>18.7</v>
      </c>
      <c r="F41" s="48"/>
      <c r="G41" s="12">
        <v>7</v>
      </c>
      <c r="H41" s="3">
        <v>25</v>
      </c>
      <c r="I41" s="13" t="s">
        <v>368</v>
      </c>
      <c r="J41" s="2" t="s">
        <v>185</v>
      </c>
      <c r="K41" s="1" t="s">
        <v>133</v>
      </c>
      <c r="L41" s="3">
        <v>10</v>
      </c>
      <c r="M41" s="3">
        <v>5.0000000000000002E-5</v>
      </c>
      <c r="N41" s="54">
        <v>47</v>
      </c>
      <c r="O41" s="1" t="s">
        <v>364</v>
      </c>
      <c r="P41" s="1">
        <v>2012</v>
      </c>
      <c r="Q41" s="13" t="s">
        <v>363</v>
      </c>
    </row>
    <row r="42" spans="1:17" x14ac:dyDescent="0.15">
      <c r="A42" s="3">
        <v>337</v>
      </c>
      <c r="B42" s="42" t="s">
        <v>30</v>
      </c>
      <c r="C42" s="3">
        <v>24</v>
      </c>
      <c r="D42" s="2" t="s">
        <v>180</v>
      </c>
      <c r="E42" s="8">
        <f>AVERAGE(E41,E39)</f>
        <v>18.899999999999999</v>
      </c>
      <c r="F42" s="48">
        <f>STDEV(E41,E39)</f>
        <v>0.28284271247462051</v>
      </c>
      <c r="G42" s="12">
        <v>7</v>
      </c>
      <c r="H42" s="3" t="s">
        <v>727</v>
      </c>
      <c r="I42" s="13" t="s">
        <v>728</v>
      </c>
      <c r="J42" s="2"/>
      <c r="L42" s="3"/>
      <c r="M42" s="3"/>
      <c r="N42" s="54" t="s">
        <v>729</v>
      </c>
      <c r="Q42" s="13"/>
    </row>
    <row r="43" spans="1:17" x14ac:dyDescent="0.15">
      <c r="A43" s="3">
        <v>140</v>
      </c>
      <c r="B43" s="42" t="s">
        <v>76</v>
      </c>
      <c r="C43" s="3">
        <v>25</v>
      </c>
      <c r="D43" s="2" t="s">
        <v>240</v>
      </c>
      <c r="E43" s="7">
        <f>AVERAGE(0.0643,0.056)</f>
        <v>6.0149999999999995E-2</v>
      </c>
      <c r="F43" s="45">
        <f>STDEV(0.0643,0.056)</f>
        <v>5.8689862838483412E-3</v>
      </c>
      <c r="G43" s="29">
        <v>7</v>
      </c>
      <c r="H43" s="5">
        <v>25</v>
      </c>
      <c r="I43" s="30" t="s">
        <v>112</v>
      </c>
      <c r="J43" s="2" t="s">
        <v>23</v>
      </c>
      <c r="K43" s="1" t="s">
        <v>24</v>
      </c>
      <c r="L43" s="3" t="s">
        <v>241</v>
      </c>
      <c r="M43" s="3" t="s">
        <v>242</v>
      </c>
      <c r="N43" s="54">
        <v>31</v>
      </c>
      <c r="O43" s="1" t="s">
        <v>222</v>
      </c>
      <c r="P43" s="1">
        <v>2006</v>
      </c>
      <c r="Q43" s="13" t="s">
        <v>223</v>
      </c>
    </row>
    <row r="44" spans="1:17" x14ac:dyDescent="0.15">
      <c r="A44" s="3">
        <v>148</v>
      </c>
      <c r="B44" s="42" t="s">
        <v>76</v>
      </c>
      <c r="C44" s="3">
        <v>26.1</v>
      </c>
      <c r="D44" s="2" t="s">
        <v>254</v>
      </c>
      <c r="E44" s="5">
        <v>120</v>
      </c>
      <c r="F44" s="9">
        <v>9</v>
      </c>
      <c r="G44" s="29">
        <v>7</v>
      </c>
      <c r="H44" s="5">
        <v>25</v>
      </c>
      <c r="I44" s="13" t="s">
        <v>112</v>
      </c>
      <c r="J44" s="2" t="s">
        <v>23</v>
      </c>
      <c r="K44" s="1" t="s">
        <v>24</v>
      </c>
      <c r="L44" s="3" t="s">
        <v>55</v>
      </c>
      <c r="M44" s="3" t="s">
        <v>28</v>
      </c>
      <c r="N44" s="54">
        <v>31</v>
      </c>
      <c r="O44" s="1" t="s">
        <v>222</v>
      </c>
      <c r="P44" s="1">
        <v>2006</v>
      </c>
      <c r="Q44" s="13" t="s">
        <v>223</v>
      </c>
    </row>
    <row r="45" spans="1:17" x14ac:dyDescent="0.15">
      <c r="A45" s="3">
        <v>235</v>
      </c>
      <c r="B45" s="42" t="s">
        <v>30</v>
      </c>
      <c r="C45" s="3">
        <v>26</v>
      </c>
      <c r="D45" s="2" t="s">
        <v>254</v>
      </c>
      <c r="E45" s="8">
        <v>14.47</v>
      </c>
      <c r="F45" s="48"/>
      <c r="G45" s="12">
        <v>7</v>
      </c>
      <c r="H45" s="3">
        <v>25</v>
      </c>
      <c r="I45" s="13" t="s">
        <v>368</v>
      </c>
      <c r="J45" s="2" t="s">
        <v>185</v>
      </c>
      <c r="K45" s="1" t="s">
        <v>133</v>
      </c>
      <c r="L45" s="3">
        <v>10</v>
      </c>
      <c r="M45" s="3">
        <v>5.0000000000000002E-5</v>
      </c>
      <c r="N45" s="54">
        <v>47</v>
      </c>
      <c r="O45" s="1" t="s">
        <v>364</v>
      </c>
      <c r="P45" s="1">
        <v>2012</v>
      </c>
      <c r="Q45" s="13" t="s">
        <v>363</v>
      </c>
    </row>
    <row r="46" spans="1:17" x14ac:dyDescent="0.15">
      <c r="A46" s="3">
        <v>319</v>
      </c>
      <c r="B46" s="42" t="s">
        <v>30</v>
      </c>
      <c r="C46" s="3">
        <v>27</v>
      </c>
      <c r="D46" s="2" t="s">
        <v>555</v>
      </c>
      <c r="E46" s="3">
        <v>88</v>
      </c>
      <c r="F46" s="24">
        <v>5.5</v>
      </c>
      <c r="G46" s="12">
        <v>5.3</v>
      </c>
      <c r="H46" s="5">
        <v>23</v>
      </c>
      <c r="I46" s="13" t="s">
        <v>148</v>
      </c>
      <c r="J46" s="2" t="s">
        <v>185</v>
      </c>
      <c r="K46" s="1" t="s">
        <v>133</v>
      </c>
      <c r="L46" s="3" t="s">
        <v>266</v>
      </c>
      <c r="M46" s="3" t="s">
        <v>562</v>
      </c>
      <c r="N46" s="54">
        <v>83</v>
      </c>
      <c r="O46" s="1" t="s">
        <v>891</v>
      </c>
      <c r="P46" s="1">
        <v>2022</v>
      </c>
      <c r="Q46" s="13" t="s">
        <v>892</v>
      </c>
    </row>
    <row r="47" spans="1:17" x14ac:dyDescent="0.15">
      <c r="A47" s="3">
        <v>141</v>
      </c>
      <c r="B47" s="42" t="s">
        <v>76</v>
      </c>
      <c r="C47" s="3">
        <v>28</v>
      </c>
      <c r="D47" s="2" t="s">
        <v>519</v>
      </c>
      <c r="E47" s="4">
        <v>5.6300000000000002E-4</v>
      </c>
      <c r="F47" s="47"/>
      <c r="G47" s="29">
        <v>7</v>
      </c>
      <c r="H47" s="5">
        <v>25</v>
      </c>
      <c r="I47" s="30" t="s">
        <v>112</v>
      </c>
      <c r="J47" s="2" t="s">
        <v>23</v>
      </c>
      <c r="K47" s="1" t="s">
        <v>24</v>
      </c>
      <c r="L47" s="3">
        <v>50</v>
      </c>
      <c r="M47" s="7">
        <v>5.0000000000000001E-3</v>
      </c>
      <c r="N47" s="54">
        <v>31</v>
      </c>
      <c r="O47" s="1" t="s">
        <v>222</v>
      </c>
      <c r="P47" s="1">
        <v>2006</v>
      </c>
      <c r="Q47" s="13" t="s">
        <v>223</v>
      </c>
    </row>
    <row r="48" spans="1:17" x14ac:dyDescent="0.15">
      <c r="A48" s="3">
        <v>142</v>
      </c>
      <c r="B48" s="42" t="s">
        <v>76</v>
      </c>
      <c r="C48" s="3">
        <v>29</v>
      </c>
      <c r="D48" s="2" t="s">
        <v>685</v>
      </c>
      <c r="E48" s="6">
        <v>0.16</v>
      </c>
      <c r="F48" s="46"/>
      <c r="G48" s="29">
        <v>7</v>
      </c>
      <c r="H48" s="5">
        <v>22</v>
      </c>
      <c r="I48" s="30" t="s">
        <v>112</v>
      </c>
      <c r="J48" s="2" t="s">
        <v>23</v>
      </c>
      <c r="K48" s="1" t="s">
        <v>24</v>
      </c>
      <c r="L48" s="3" t="s">
        <v>244</v>
      </c>
      <c r="M48" s="3" t="s">
        <v>243</v>
      </c>
      <c r="N48" s="54">
        <v>31</v>
      </c>
      <c r="O48" s="1" t="s">
        <v>222</v>
      </c>
      <c r="P48" s="1">
        <v>2006</v>
      </c>
      <c r="Q48" s="13" t="s">
        <v>223</v>
      </c>
    </row>
    <row r="49" spans="1:17" x14ac:dyDescent="0.15">
      <c r="A49" s="3">
        <v>221</v>
      </c>
      <c r="B49" s="42" t="s">
        <v>76</v>
      </c>
      <c r="C49" s="3">
        <v>29.1</v>
      </c>
      <c r="D49" s="2" t="s">
        <v>685</v>
      </c>
      <c r="E49" s="4">
        <v>1.1800000000000001E-3</v>
      </c>
      <c r="F49" s="47">
        <v>2.0000000000000002E-5</v>
      </c>
      <c r="G49" s="12">
        <v>7</v>
      </c>
      <c r="H49" s="3">
        <v>25</v>
      </c>
      <c r="I49" s="13" t="s">
        <v>63</v>
      </c>
      <c r="J49" s="2" t="s">
        <v>185</v>
      </c>
      <c r="K49" s="1" t="s">
        <v>133</v>
      </c>
      <c r="L49" s="3" t="s">
        <v>684</v>
      </c>
      <c r="M49" s="3" t="s">
        <v>360</v>
      </c>
      <c r="N49" s="54">
        <v>45</v>
      </c>
      <c r="O49" s="1" t="s">
        <v>359</v>
      </c>
      <c r="P49" s="1">
        <v>2011</v>
      </c>
      <c r="Q49" s="13" t="s">
        <v>358</v>
      </c>
    </row>
    <row r="50" spans="1:17" x14ac:dyDescent="0.15">
      <c r="A50" s="3">
        <v>256</v>
      </c>
      <c r="B50" s="42" t="s">
        <v>30</v>
      </c>
      <c r="C50" s="3">
        <v>30</v>
      </c>
      <c r="D50" s="2" t="s">
        <v>400</v>
      </c>
      <c r="E50" s="8">
        <v>49</v>
      </c>
      <c r="F50" s="9">
        <v>4</v>
      </c>
      <c r="G50" s="12">
        <v>7</v>
      </c>
      <c r="H50" s="3">
        <v>25</v>
      </c>
      <c r="I50" s="13" t="s">
        <v>401</v>
      </c>
      <c r="J50" s="2" t="s">
        <v>185</v>
      </c>
      <c r="K50" s="1" t="s">
        <v>133</v>
      </c>
      <c r="L50" s="3" t="s">
        <v>403</v>
      </c>
      <c r="M50" s="3" t="s">
        <v>402</v>
      </c>
      <c r="N50" s="54">
        <v>54</v>
      </c>
      <c r="O50" s="1" t="s">
        <v>285</v>
      </c>
      <c r="P50" s="1">
        <v>2014</v>
      </c>
      <c r="Q50" s="13" t="s">
        <v>395</v>
      </c>
    </row>
    <row r="51" spans="1:17" x14ac:dyDescent="0.15">
      <c r="A51" s="3">
        <v>108</v>
      </c>
      <c r="B51" s="42" t="s">
        <v>30</v>
      </c>
      <c r="D51" s="2" t="s">
        <v>181</v>
      </c>
      <c r="E51" s="8">
        <f>0.0243/60/(0.002/158)</f>
        <v>31.994999999999997</v>
      </c>
      <c r="F51" s="48"/>
      <c r="G51" s="12">
        <v>7.2</v>
      </c>
      <c r="H51" s="3">
        <v>16</v>
      </c>
      <c r="I51" s="13" t="s">
        <v>178</v>
      </c>
      <c r="J51" s="2" t="s">
        <v>136</v>
      </c>
      <c r="K51" s="1" t="s">
        <v>133</v>
      </c>
      <c r="L51" s="5">
        <f>13/(100/163)</f>
        <v>21.19</v>
      </c>
      <c r="M51" s="3">
        <v>1.2999999999999999E-5</v>
      </c>
      <c r="N51" s="54">
        <v>25</v>
      </c>
      <c r="O51" s="1" t="s">
        <v>177</v>
      </c>
      <c r="P51" s="1">
        <v>2003</v>
      </c>
      <c r="Q51" s="13" t="s">
        <v>176</v>
      </c>
    </row>
    <row r="52" spans="1:17" x14ac:dyDescent="0.15">
      <c r="A52" s="3">
        <v>226</v>
      </c>
      <c r="B52" s="42" t="s">
        <v>30</v>
      </c>
      <c r="C52" s="3">
        <v>31.1</v>
      </c>
      <c r="D52" s="2" t="s">
        <v>181</v>
      </c>
      <c r="E52" s="8">
        <v>12.9</v>
      </c>
      <c r="F52" s="45">
        <f>0.0627/19.4*E52</f>
        <v>4.1692268041237122E-2</v>
      </c>
      <c r="G52" s="12">
        <v>5.3</v>
      </c>
      <c r="H52" s="3">
        <v>22</v>
      </c>
      <c r="I52" s="13" t="s">
        <v>686</v>
      </c>
      <c r="J52" s="2" t="s">
        <v>23</v>
      </c>
      <c r="K52" s="1" t="s">
        <v>133</v>
      </c>
      <c r="L52" s="3">
        <v>9.4</v>
      </c>
      <c r="M52" s="3">
        <v>1.5E-3</v>
      </c>
      <c r="N52" s="54">
        <v>46</v>
      </c>
      <c r="O52" s="1" t="s">
        <v>362</v>
      </c>
      <c r="P52" s="1">
        <v>2011</v>
      </c>
      <c r="Q52" s="13" t="s">
        <v>361</v>
      </c>
    </row>
    <row r="53" spans="1:17" x14ac:dyDescent="0.15">
      <c r="A53" s="3">
        <v>233</v>
      </c>
      <c r="B53" s="42" t="s">
        <v>30</v>
      </c>
      <c r="D53" s="2" t="s">
        <v>181</v>
      </c>
      <c r="E53" s="8">
        <v>43.67</v>
      </c>
      <c r="F53" s="48"/>
      <c r="G53" s="12">
        <v>7</v>
      </c>
      <c r="H53" s="3">
        <v>25</v>
      </c>
      <c r="I53" s="13" t="s">
        <v>368</v>
      </c>
      <c r="J53" s="2" t="s">
        <v>185</v>
      </c>
      <c r="K53" s="1" t="s">
        <v>133</v>
      </c>
      <c r="L53" s="3">
        <v>10</v>
      </c>
      <c r="M53" s="3">
        <v>5.0000000000000002E-5</v>
      </c>
      <c r="N53" s="54">
        <v>47</v>
      </c>
      <c r="O53" s="1" t="s">
        <v>364</v>
      </c>
      <c r="P53" s="1">
        <v>2012</v>
      </c>
      <c r="Q53" s="13" t="s">
        <v>363</v>
      </c>
    </row>
    <row r="54" spans="1:17" x14ac:dyDescent="0.15">
      <c r="A54" s="3">
        <v>327</v>
      </c>
      <c r="B54" s="42" t="s">
        <v>30</v>
      </c>
      <c r="C54" s="3">
        <v>31.2</v>
      </c>
      <c r="D54" s="2" t="s">
        <v>181</v>
      </c>
      <c r="E54" s="5">
        <f>21400/60</f>
        <v>356.66666666666669</v>
      </c>
      <c r="F54" s="9">
        <f>1000/60</f>
        <v>16.666666666666668</v>
      </c>
      <c r="G54" s="12">
        <v>7</v>
      </c>
      <c r="H54" s="3">
        <v>25</v>
      </c>
      <c r="I54" s="13" t="s">
        <v>430</v>
      </c>
      <c r="J54" s="2" t="s">
        <v>619</v>
      </c>
      <c r="K54" s="1" t="s">
        <v>620</v>
      </c>
      <c r="L54" s="3" t="s">
        <v>408</v>
      </c>
      <c r="M54" s="3" t="s">
        <v>408</v>
      </c>
      <c r="N54" s="54">
        <v>87</v>
      </c>
      <c r="O54" s="1" t="s">
        <v>177</v>
      </c>
      <c r="P54" s="1">
        <v>2022</v>
      </c>
      <c r="Q54" s="13" t="s">
        <v>621</v>
      </c>
    </row>
    <row r="55" spans="1:17" x14ac:dyDescent="0.15">
      <c r="A55" s="3">
        <v>338</v>
      </c>
      <c r="B55" s="42" t="s">
        <v>30</v>
      </c>
      <c r="C55" s="3">
        <v>31</v>
      </c>
      <c r="D55" s="2" t="s">
        <v>181</v>
      </c>
      <c r="E55" s="5">
        <f>AVERAGE(E51,E53)</f>
        <v>37.832499999999996</v>
      </c>
      <c r="F55" s="9">
        <f>STDEV(E51,E53)</f>
        <v>8.2554716703529696</v>
      </c>
      <c r="G55" s="2" t="s">
        <v>730</v>
      </c>
      <c r="H55" s="3" t="s">
        <v>731</v>
      </c>
      <c r="I55" s="13" t="s">
        <v>728</v>
      </c>
      <c r="J55" s="2"/>
      <c r="L55" s="3"/>
      <c r="M55" s="3"/>
      <c r="N55" s="54" t="s">
        <v>732</v>
      </c>
      <c r="Q55" s="13"/>
    </row>
    <row r="56" spans="1:17" x14ac:dyDescent="0.15">
      <c r="A56" s="3">
        <v>320</v>
      </c>
      <c r="B56" s="42" t="s">
        <v>30</v>
      </c>
      <c r="C56" s="3">
        <v>32</v>
      </c>
      <c r="D56" s="2" t="s">
        <v>556</v>
      </c>
      <c r="E56" s="3">
        <v>399</v>
      </c>
      <c r="F56" s="24">
        <v>58</v>
      </c>
      <c r="G56" s="12">
        <v>5.3</v>
      </c>
      <c r="H56" s="5">
        <v>23</v>
      </c>
      <c r="I56" s="13" t="s">
        <v>148</v>
      </c>
      <c r="J56" s="2" t="s">
        <v>185</v>
      </c>
      <c r="K56" s="1" t="s">
        <v>133</v>
      </c>
      <c r="L56" s="3" t="s">
        <v>568</v>
      </c>
      <c r="M56" s="3" t="s">
        <v>563</v>
      </c>
      <c r="N56" s="54">
        <v>83</v>
      </c>
      <c r="O56" s="1" t="s">
        <v>891</v>
      </c>
      <c r="P56" s="1">
        <v>2022</v>
      </c>
      <c r="Q56" s="13" t="s">
        <v>892</v>
      </c>
    </row>
    <row r="57" spans="1:17" x14ac:dyDescent="0.15">
      <c r="A57" s="3">
        <v>307</v>
      </c>
      <c r="B57" s="42" t="s">
        <v>30</v>
      </c>
      <c r="C57" s="3">
        <v>33</v>
      </c>
      <c r="D57" s="2" t="s">
        <v>495</v>
      </c>
      <c r="E57" s="6">
        <v>1.57</v>
      </c>
      <c r="F57" s="46"/>
      <c r="G57" s="12">
        <v>7</v>
      </c>
      <c r="H57" s="3">
        <v>25</v>
      </c>
      <c r="I57" s="13" t="s">
        <v>401</v>
      </c>
      <c r="J57" s="2" t="s">
        <v>185</v>
      </c>
      <c r="K57" s="1" t="s">
        <v>133</v>
      </c>
      <c r="L57" s="3" t="s">
        <v>489</v>
      </c>
      <c r="M57" s="3" t="s">
        <v>488</v>
      </c>
      <c r="N57" s="54">
        <v>76</v>
      </c>
      <c r="O57" s="1" t="s">
        <v>413</v>
      </c>
      <c r="P57" s="1">
        <v>2019</v>
      </c>
      <c r="Q57" s="13" t="s">
        <v>487</v>
      </c>
    </row>
    <row r="58" spans="1:17" x14ac:dyDescent="0.15">
      <c r="A58" s="3">
        <v>62</v>
      </c>
      <c r="B58" s="42" t="s">
        <v>30</v>
      </c>
      <c r="C58" s="3">
        <v>34</v>
      </c>
      <c r="D58" s="2" t="s">
        <v>736</v>
      </c>
      <c r="E58" s="5">
        <v>684</v>
      </c>
      <c r="F58" s="9">
        <v>2</v>
      </c>
      <c r="G58" s="12">
        <v>13.7</v>
      </c>
      <c r="H58" s="3">
        <v>15</v>
      </c>
      <c r="I58" s="13" t="s">
        <v>118</v>
      </c>
      <c r="J58" s="2" t="s">
        <v>23</v>
      </c>
      <c r="K58" s="1" t="s">
        <v>24</v>
      </c>
      <c r="L58" s="3">
        <v>20</v>
      </c>
      <c r="M58" s="3">
        <v>7.6E-3</v>
      </c>
      <c r="N58" s="54">
        <v>12</v>
      </c>
      <c r="O58" s="1" t="s">
        <v>117</v>
      </c>
      <c r="P58" s="1">
        <v>1985</v>
      </c>
      <c r="Q58" s="13" t="s">
        <v>116</v>
      </c>
    </row>
    <row r="59" spans="1:17" x14ac:dyDescent="0.15">
      <c r="A59" s="3">
        <v>253</v>
      </c>
      <c r="B59" s="42" t="s">
        <v>30</v>
      </c>
      <c r="D59" s="2" t="s">
        <v>397</v>
      </c>
      <c r="E59" s="6">
        <v>3</v>
      </c>
      <c r="F59" s="9">
        <v>2</v>
      </c>
      <c r="G59" s="12">
        <v>7</v>
      </c>
      <c r="H59" s="3">
        <v>25</v>
      </c>
      <c r="I59" s="13" t="s">
        <v>401</v>
      </c>
      <c r="J59" s="2" t="s">
        <v>185</v>
      </c>
      <c r="K59" s="1" t="s">
        <v>133</v>
      </c>
      <c r="L59" s="3" t="s">
        <v>403</v>
      </c>
      <c r="M59" s="3" t="s">
        <v>402</v>
      </c>
      <c r="N59" s="54">
        <v>54</v>
      </c>
      <c r="O59" s="1" t="s">
        <v>285</v>
      </c>
      <c r="P59" s="1">
        <v>2014</v>
      </c>
      <c r="Q59" s="13" t="s">
        <v>395</v>
      </c>
    </row>
    <row r="60" spans="1:17" x14ac:dyDescent="0.15">
      <c r="A60" s="3">
        <v>278</v>
      </c>
      <c r="B60" s="42" t="s">
        <v>30</v>
      </c>
      <c r="D60" s="2" t="s">
        <v>397</v>
      </c>
      <c r="E60" s="6">
        <v>1.4</v>
      </c>
      <c r="F60" s="46">
        <v>0.1</v>
      </c>
      <c r="G60" s="12">
        <v>7</v>
      </c>
      <c r="H60" s="3">
        <v>25</v>
      </c>
      <c r="I60" s="13" t="s">
        <v>452</v>
      </c>
      <c r="J60" s="2" t="s">
        <v>185</v>
      </c>
      <c r="K60" s="1" t="s">
        <v>133</v>
      </c>
      <c r="L60" s="3" t="s">
        <v>456</v>
      </c>
      <c r="M60" s="3" t="s">
        <v>453</v>
      </c>
      <c r="N60" s="54">
        <v>67</v>
      </c>
      <c r="O60" s="1" t="s">
        <v>449</v>
      </c>
      <c r="P60" s="1">
        <v>2018</v>
      </c>
      <c r="Q60" s="13" t="s">
        <v>448</v>
      </c>
    </row>
    <row r="61" spans="1:17" x14ac:dyDescent="0.15">
      <c r="A61" s="3">
        <v>339</v>
      </c>
      <c r="B61" s="42" t="s">
        <v>30</v>
      </c>
      <c r="C61" s="3">
        <v>35</v>
      </c>
      <c r="D61" s="2" t="s">
        <v>397</v>
      </c>
      <c r="E61" s="6">
        <f>AVERAGE(E59,E60)</f>
        <v>2.2000000000000002</v>
      </c>
      <c r="F61" s="46">
        <f>STDEV(E59,E60)</f>
        <v>1.1313708498984749</v>
      </c>
      <c r="G61" s="12">
        <v>7</v>
      </c>
      <c r="H61" s="3">
        <v>25</v>
      </c>
      <c r="I61" s="13" t="s">
        <v>718</v>
      </c>
      <c r="J61" s="2"/>
      <c r="L61" s="3"/>
      <c r="M61" s="3"/>
      <c r="N61" s="54" t="s">
        <v>719</v>
      </c>
      <c r="Q61" s="13"/>
    </row>
    <row r="62" spans="1:17" x14ac:dyDescent="0.15">
      <c r="A62" s="3">
        <v>304</v>
      </c>
      <c r="B62" s="42" t="s">
        <v>30</v>
      </c>
      <c r="C62" s="3">
        <v>36</v>
      </c>
      <c r="D62" s="2" t="s">
        <v>492</v>
      </c>
      <c r="E62" s="6">
        <v>0.72</v>
      </c>
      <c r="F62" s="46"/>
      <c r="G62" s="12">
        <v>7</v>
      </c>
      <c r="H62" s="3">
        <v>25</v>
      </c>
      <c r="I62" s="13" t="s">
        <v>401</v>
      </c>
      <c r="J62" s="2" t="s">
        <v>185</v>
      </c>
      <c r="K62" s="1" t="s">
        <v>133</v>
      </c>
      <c r="L62" s="3" t="s">
        <v>489</v>
      </c>
      <c r="M62" s="3" t="s">
        <v>488</v>
      </c>
      <c r="N62" s="54">
        <v>76</v>
      </c>
      <c r="O62" s="1" t="s">
        <v>413</v>
      </c>
      <c r="P62" s="1">
        <v>2019</v>
      </c>
      <c r="Q62" s="13" t="s">
        <v>487</v>
      </c>
    </row>
    <row r="63" spans="1:17" x14ac:dyDescent="0.15">
      <c r="A63" s="3">
        <v>61</v>
      </c>
      <c r="B63" s="42" t="s">
        <v>30</v>
      </c>
      <c r="C63" s="3">
        <v>37</v>
      </c>
      <c r="D63" s="2" t="s">
        <v>735</v>
      </c>
      <c r="E63" s="5">
        <v>855</v>
      </c>
      <c r="F63" s="9">
        <v>4</v>
      </c>
      <c r="G63" s="12">
        <v>11.3</v>
      </c>
      <c r="H63" s="3">
        <v>25</v>
      </c>
      <c r="I63" s="13" t="s">
        <v>658</v>
      </c>
      <c r="J63" s="2" t="s">
        <v>23</v>
      </c>
      <c r="K63" s="1" t="s">
        <v>24</v>
      </c>
      <c r="L63" s="3">
        <v>20</v>
      </c>
      <c r="M63" s="3">
        <v>7.6E-3</v>
      </c>
      <c r="N63" s="54">
        <v>12</v>
      </c>
      <c r="O63" s="1" t="s">
        <v>117</v>
      </c>
      <c r="P63" s="1">
        <v>1985</v>
      </c>
      <c r="Q63" s="13" t="s">
        <v>116</v>
      </c>
    </row>
    <row r="64" spans="1:17" x14ac:dyDescent="0.15">
      <c r="A64" s="3">
        <v>146</v>
      </c>
      <c r="B64" s="42" t="s">
        <v>30</v>
      </c>
      <c r="C64" s="3">
        <v>38.200000000000003</v>
      </c>
      <c r="D64" s="2" t="s">
        <v>252</v>
      </c>
      <c r="E64" s="8">
        <v>13.4</v>
      </c>
      <c r="F64" s="48">
        <v>0.7</v>
      </c>
      <c r="G64" s="29">
        <v>7</v>
      </c>
      <c r="H64" s="5">
        <v>25</v>
      </c>
      <c r="I64" s="30" t="s">
        <v>112</v>
      </c>
      <c r="J64" s="2" t="s">
        <v>23</v>
      </c>
      <c r="K64" s="1" t="s">
        <v>24</v>
      </c>
      <c r="L64" s="3" t="s">
        <v>253</v>
      </c>
      <c r="M64" s="3" t="s">
        <v>48</v>
      </c>
      <c r="N64" s="54">
        <v>31</v>
      </c>
      <c r="O64" s="1" t="s">
        <v>222</v>
      </c>
      <c r="P64" s="1">
        <v>2006</v>
      </c>
      <c r="Q64" s="13" t="s">
        <v>223</v>
      </c>
    </row>
    <row r="65" spans="1:17" x14ac:dyDescent="0.15">
      <c r="A65" s="3">
        <v>223</v>
      </c>
      <c r="B65" s="42" t="s">
        <v>30</v>
      </c>
      <c r="C65" s="3">
        <v>38.1</v>
      </c>
      <c r="D65" s="2" t="s">
        <v>252</v>
      </c>
      <c r="E65" s="6">
        <v>0.95</v>
      </c>
      <c r="F65" s="46">
        <f>0.0011/1.42*E65</f>
        <v>7.3591549295774653E-4</v>
      </c>
      <c r="G65" s="12">
        <v>5.3</v>
      </c>
      <c r="H65" s="3">
        <v>22</v>
      </c>
      <c r="I65" s="13" t="s">
        <v>686</v>
      </c>
      <c r="J65" s="2" t="s">
        <v>23</v>
      </c>
      <c r="K65" s="1" t="s">
        <v>133</v>
      </c>
      <c r="L65" s="3">
        <v>9.4</v>
      </c>
      <c r="M65" s="3">
        <v>1.5E-3</v>
      </c>
      <c r="N65" s="54">
        <v>46</v>
      </c>
      <c r="O65" s="1" t="s">
        <v>362</v>
      </c>
      <c r="P65" s="1">
        <v>2011</v>
      </c>
      <c r="Q65" s="13" t="s">
        <v>361</v>
      </c>
    </row>
    <row r="66" spans="1:17" x14ac:dyDescent="0.15">
      <c r="A66" s="3">
        <v>229</v>
      </c>
      <c r="B66" s="42" t="s">
        <v>30</v>
      </c>
      <c r="C66" s="3">
        <v>38</v>
      </c>
      <c r="D66" s="2" t="s">
        <v>252</v>
      </c>
      <c r="E66" s="6">
        <v>2.13</v>
      </c>
      <c r="F66" s="46"/>
      <c r="G66" s="12">
        <v>7</v>
      </c>
      <c r="H66" s="3">
        <v>25</v>
      </c>
      <c r="I66" s="13" t="s">
        <v>368</v>
      </c>
      <c r="J66" s="2" t="s">
        <v>185</v>
      </c>
      <c r="K66" s="1" t="s">
        <v>133</v>
      </c>
      <c r="L66" s="3">
        <v>10</v>
      </c>
      <c r="M66" s="3">
        <v>5.0000000000000002E-5</v>
      </c>
      <c r="N66" s="54">
        <v>47</v>
      </c>
      <c r="O66" s="1" t="s">
        <v>364</v>
      </c>
      <c r="P66" s="1">
        <v>2012</v>
      </c>
      <c r="Q66" s="13" t="s">
        <v>363</v>
      </c>
    </row>
    <row r="67" spans="1:17" x14ac:dyDescent="0.15">
      <c r="A67" s="3">
        <v>322</v>
      </c>
      <c r="B67" s="42" t="s">
        <v>30</v>
      </c>
      <c r="C67" s="3">
        <v>39</v>
      </c>
      <c r="D67" s="2" t="s">
        <v>558</v>
      </c>
      <c r="E67" s="3">
        <v>2.67</v>
      </c>
      <c r="F67" s="24">
        <v>0.43</v>
      </c>
      <c r="G67" s="12">
        <v>5.3</v>
      </c>
      <c r="H67" s="5">
        <v>23</v>
      </c>
      <c r="I67" s="13" t="s">
        <v>148</v>
      </c>
      <c r="J67" s="2" t="s">
        <v>23</v>
      </c>
      <c r="K67" s="1" t="s">
        <v>24</v>
      </c>
      <c r="L67" s="3" t="s">
        <v>567</v>
      </c>
      <c r="M67" s="3">
        <v>2.5000000000000001E-4</v>
      </c>
      <c r="N67" s="54">
        <v>83</v>
      </c>
      <c r="O67" s="1" t="s">
        <v>891</v>
      </c>
      <c r="P67" s="1">
        <v>2022</v>
      </c>
      <c r="Q67" s="13" t="s">
        <v>892</v>
      </c>
    </row>
    <row r="68" spans="1:17" x14ac:dyDescent="0.15">
      <c r="A68" s="3">
        <v>59</v>
      </c>
      <c r="B68" s="42" t="s">
        <v>30</v>
      </c>
      <c r="C68" s="3">
        <v>40</v>
      </c>
      <c r="D68" s="2" t="s">
        <v>733</v>
      </c>
      <c r="E68" s="5">
        <v>880</v>
      </c>
      <c r="F68" s="9">
        <v>16</v>
      </c>
      <c r="G68" s="12">
        <v>11.3</v>
      </c>
      <c r="H68" s="3">
        <v>25</v>
      </c>
      <c r="I68" s="13" t="s">
        <v>658</v>
      </c>
      <c r="J68" s="2" t="s">
        <v>23</v>
      </c>
      <c r="K68" s="1" t="s">
        <v>24</v>
      </c>
      <c r="L68" s="3">
        <v>20</v>
      </c>
      <c r="M68" s="3">
        <v>7.6E-3</v>
      </c>
      <c r="N68" s="54">
        <v>12</v>
      </c>
      <c r="O68" s="1" t="s">
        <v>117</v>
      </c>
      <c r="P68" s="1">
        <v>1985</v>
      </c>
      <c r="Q68" s="13" t="s">
        <v>116</v>
      </c>
    </row>
    <row r="69" spans="1:17" x14ac:dyDescent="0.15">
      <c r="A69" s="3">
        <v>329</v>
      </c>
      <c r="B69" s="42" t="s">
        <v>188</v>
      </c>
      <c r="C69" s="3">
        <v>41</v>
      </c>
      <c r="D69" s="2" t="s">
        <v>623</v>
      </c>
      <c r="E69" s="3">
        <f>18300/60</f>
        <v>305</v>
      </c>
      <c r="F69" s="9">
        <f>800/60</f>
        <v>13.333333333333334</v>
      </c>
      <c r="G69" s="2">
        <v>7</v>
      </c>
      <c r="H69" s="3">
        <v>25</v>
      </c>
      <c r="I69" s="13" t="s">
        <v>430</v>
      </c>
      <c r="J69" s="2" t="s">
        <v>619</v>
      </c>
      <c r="K69" s="1" t="s">
        <v>620</v>
      </c>
      <c r="L69" s="3" t="s">
        <v>408</v>
      </c>
      <c r="M69" s="3" t="s">
        <v>408</v>
      </c>
      <c r="N69" s="54">
        <v>87</v>
      </c>
      <c r="O69" s="1" t="s">
        <v>177</v>
      </c>
      <c r="P69" s="1">
        <v>2022</v>
      </c>
      <c r="Q69" s="13" t="s">
        <v>621</v>
      </c>
    </row>
    <row r="70" spans="1:17" x14ac:dyDescent="0.15">
      <c r="A70" s="3">
        <v>149</v>
      </c>
      <c r="B70" s="42" t="s">
        <v>30</v>
      </c>
      <c r="C70" s="3">
        <v>42.2</v>
      </c>
      <c r="D70" s="2" t="s">
        <v>526</v>
      </c>
      <c r="E70" s="8">
        <v>98</v>
      </c>
      <c r="F70" s="48">
        <v>4</v>
      </c>
      <c r="G70" s="29">
        <v>7</v>
      </c>
      <c r="H70" s="5">
        <v>25</v>
      </c>
      <c r="I70" s="13" t="s">
        <v>112</v>
      </c>
      <c r="J70" s="2" t="s">
        <v>23</v>
      </c>
      <c r="K70" s="1" t="s">
        <v>24</v>
      </c>
      <c r="L70" s="3" t="s">
        <v>97</v>
      </c>
      <c r="M70" s="3" t="s">
        <v>248</v>
      </c>
      <c r="N70" s="54">
        <v>31</v>
      </c>
      <c r="O70" s="1" t="s">
        <v>222</v>
      </c>
      <c r="P70" s="1">
        <v>2006</v>
      </c>
      <c r="Q70" s="13" t="s">
        <v>223</v>
      </c>
    </row>
    <row r="71" spans="1:17" x14ac:dyDescent="0.15">
      <c r="A71" s="3">
        <v>283</v>
      </c>
      <c r="B71" s="42" t="s">
        <v>76</v>
      </c>
      <c r="C71" s="3">
        <v>42</v>
      </c>
      <c r="D71" s="2" t="s">
        <v>526</v>
      </c>
      <c r="E71" s="8">
        <v>23.1</v>
      </c>
      <c r="F71" s="48">
        <v>1.7</v>
      </c>
      <c r="G71" s="12">
        <v>7</v>
      </c>
      <c r="H71" s="3">
        <v>25</v>
      </c>
      <c r="I71" s="13" t="s">
        <v>452</v>
      </c>
      <c r="J71" s="2" t="s">
        <v>185</v>
      </c>
      <c r="K71" s="1" t="s">
        <v>133</v>
      </c>
      <c r="L71" s="3" t="s">
        <v>456</v>
      </c>
      <c r="M71" s="3" t="s">
        <v>453</v>
      </c>
      <c r="N71" s="54">
        <v>67</v>
      </c>
      <c r="O71" s="1" t="s">
        <v>449</v>
      </c>
      <c r="P71" s="1">
        <v>2018</v>
      </c>
      <c r="Q71" s="13" t="s">
        <v>448</v>
      </c>
    </row>
    <row r="72" spans="1:17" x14ac:dyDescent="0.15">
      <c r="A72" s="3">
        <v>326</v>
      </c>
      <c r="B72" s="42" t="s">
        <v>30</v>
      </c>
      <c r="C72" s="3">
        <v>42.1</v>
      </c>
      <c r="D72" s="2" t="s">
        <v>526</v>
      </c>
      <c r="E72" s="8">
        <f>4040/60</f>
        <v>67.333333333333329</v>
      </c>
      <c r="F72" s="48">
        <f>200/60</f>
        <v>3.3333333333333335</v>
      </c>
      <c r="G72" s="2">
        <v>7</v>
      </c>
      <c r="H72" s="3">
        <v>25</v>
      </c>
      <c r="I72" s="13" t="s">
        <v>430</v>
      </c>
      <c r="J72" s="2" t="s">
        <v>619</v>
      </c>
      <c r="K72" s="1" t="s">
        <v>133</v>
      </c>
      <c r="L72" s="3" t="s">
        <v>617</v>
      </c>
      <c r="M72" s="3" t="s">
        <v>618</v>
      </c>
      <c r="N72" s="54">
        <v>87</v>
      </c>
      <c r="O72" s="1" t="s">
        <v>177</v>
      </c>
      <c r="P72" s="1">
        <v>2022</v>
      </c>
      <c r="Q72" s="13" t="s">
        <v>621</v>
      </c>
    </row>
    <row r="73" spans="1:17" x14ac:dyDescent="0.15">
      <c r="A73" s="3">
        <v>40</v>
      </c>
      <c r="B73" s="42" t="s">
        <v>30</v>
      </c>
      <c r="C73" s="3">
        <v>43</v>
      </c>
      <c r="D73" s="2" t="s">
        <v>527</v>
      </c>
      <c r="E73" s="6">
        <f>0.1782</f>
        <v>0.1782</v>
      </c>
      <c r="F73" s="46"/>
      <c r="G73" s="12">
        <v>6.8</v>
      </c>
      <c r="H73" s="3">
        <v>35</v>
      </c>
      <c r="I73" s="13" t="s">
        <v>652</v>
      </c>
      <c r="J73" s="2" t="s">
        <v>68</v>
      </c>
      <c r="K73" s="1" t="s">
        <v>24</v>
      </c>
      <c r="L73" s="5">
        <f>M73/0.0002</f>
        <v>5.8</v>
      </c>
      <c r="M73" s="3">
        <v>1.16E-3</v>
      </c>
      <c r="N73" s="54">
        <v>8</v>
      </c>
      <c r="O73" s="1" t="s">
        <v>94</v>
      </c>
      <c r="P73" s="1">
        <v>1976</v>
      </c>
      <c r="Q73" s="13" t="s">
        <v>95</v>
      </c>
    </row>
    <row r="74" spans="1:17" x14ac:dyDescent="0.15">
      <c r="A74" s="3">
        <v>64</v>
      </c>
      <c r="B74" s="42" t="s">
        <v>30</v>
      </c>
      <c r="C74" s="3">
        <v>44</v>
      </c>
      <c r="D74" s="2" t="s">
        <v>738</v>
      </c>
      <c r="E74" s="5">
        <v>965</v>
      </c>
      <c r="F74" s="9">
        <v>6</v>
      </c>
      <c r="G74" s="12">
        <v>11.3</v>
      </c>
      <c r="H74" s="3">
        <v>25</v>
      </c>
      <c r="I74" s="13" t="s">
        <v>658</v>
      </c>
      <c r="J74" s="2" t="s">
        <v>23</v>
      </c>
      <c r="K74" s="1" t="s">
        <v>24</v>
      </c>
      <c r="L74" s="3">
        <v>20</v>
      </c>
      <c r="M74" s="3">
        <v>7.6E-3</v>
      </c>
      <c r="N74" s="54">
        <v>12</v>
      </c>
      <c r="O74" s="1" t="s">
        <v>117</v>
      </c>
      <c r="P74" s="1">
        <v>1985</v>
      </c>
      <c r="Q74" s="13" t="s">
        <v>116</v>
      </c>
    </row>
    <row r="75" spans="1:17" x14ac:dyDescent="0.15">
      <c r="A75" s="3">
        <v>37</v>
      </c>
      <c r="B75" s="42" t="s">
        <v>30</v>
      </c>
      <c r="C75" s="3">
        <v>45</v>
      </c>
      <c r="D75" s="2" t="s">
        <v>528</v>
      </c>
      <c r="E75" s="6">
        <f>0.8696</f>
        <v>0.86960000000000004</v>
      </c>
      <c r="F75" s="46"/>
      <c r="G75" s="12">
        <v>6.8</v>
      </c>
      <c r="H75" s="3">
        <v>35</v>
      </c>
      <c r="I75" s="13" t="s">
        <v>652</v>
      </c>
      <c r="J75" s="2" t="s">
        <v>68</v>
      </c>
      <c r="K75" s="1" t="s">
        <v>24</v>
      </c>
      <c r="L75" s="5">
        <f>M75/0.0002</f>
        <v>5.5750000000000002</v>
      </c>
      <c r="M75" s="40">
        <v>1.1150000000000001E-3</v>
      </c>
      <c r="N75" s="54">
        <v>8</v>
      </c>
      <c r="O75" s="1" t="s">
        <v>94</v>
      </c>
      <c r="P75" s="1">
        <v>1976</v>
      </c>
      <c r="Q75" s="13" t="s">
        <v>95</v>
      </c>
    </row>
    <row r="76" spans="1:17" x14ac:dyDescent="0.15">
      <c r="A76" s="3">
        <v>12</v>
      </c>
      <c r="B76" s="42" t="s">
        <v>30</v>
      </c>
      <c r="C76" s="3">
        <v>46</v>
      </c>
      <c r="D76" s="2" t="s">
        <v>639</v>
      </c>
      <c r="E76" s="5">
        <v>455</v>
      </c>
      <c r="F76" s="9">
        <v>23</v>
      </c>
      <c r="G76" s="12">
        <v>13</v>
      </c>
      <c r="H76" s="3">
        <v>25</v>
      </c>
      <c r="I76" s="13" t="s">
        <v>47</v>
      </c>
      <c r="J76" s="2" t="s">
        <v>23</v>
      </c>
      <c r="K76" s="1" t="s">
        <v>24</v>
      </c>
      <c r="L76" s="3" t="s">
        <v>615</v>
      </c>
      <c r="M76" s="3" t="s">
        <v>56</v>
      </c>
      <c r="N76" s="54">
        <v>2</v>
      </c>
      <c r="O76" s="1" t="s">
        <v>19</v>
      </c>
      <c r="P76" s="1">
        <v>1966</v>
      </c>
      <c r="Q76" s="13" t="s">
        <v>45</v>
      </c>
    </row>
    <row r="77" spans="1:17" x14ac:dyDescent="0.15">
      <c r="A77" s="3">
        <v>63</v>
      </c>
      <c r="B77" s="42" t="s">
        <v>30</v>
      </c>
      <c r="C77" s="3">
        <v>47</v>
      </c>
      <c r="D77" s="2" t="s">
        <v>737</v>
      </c>
      <c r="E77" s="5">
        <v>834</v>
      </c>
      <c r="F77" s="9">
        <v>39</v>
      </c>
      <c r="G77" s="12">
        <v>11.3</v>
      </c>
      <c r="H77" s="3">
        <v>25</v>
      </c>
      <c r="I77" s="13" t="s">
        <v>658</v>
      </c>
      <c r="J77" s="2" t="s">
        <v>23</v>
      </c>
      <c r="K77" s="1" t="s">
        <v>24</v>
      </c>
      <c r="L77" s="3">
        <v>20</v>
      </c>
      <c r="M77" s="3">
        <v>7.6E-3</v>
      </c>
      <c r="N77" s="54">
        <v>12</v>
      </c>
      <c r="O77" s="1" t="s">
        <v>117</v>
      </c>
      <c r="P77" s="1">
        <v>1985</v>
      </c>
      <c r="Q77" s="13" t="s">
        <v>116</v>
      </c>
    </row>
    <row r="78" spans="1:17" x14ac:dyDescent="0.15">
      <c r="A78" s="3">
        <v>234</v>
      </c>
      <c r="B78" s="42" t="s">
        <v>30</v>
      </c>
      <c r="C78" s="3">
        <v>48</v>
      </c>
      <c r="D78" s="2" t="s">
        <v>367</v>
      </c>
      <c r="E78" s="6">
        <v>1.93</v>
      </c>
      <c r="F78" s="46"/>
      <c r="G78" s="12">
        <v>7</v>
      </c>
      <c r="H78" s="3">
        <v>25</v>
      </c>
      <c r="I78" s="13" t="s">
        <v>368</v>
      </c>
      <c r="J78" s="2" t="s">
        <v>185</v>
      </c>
      <c r="K78" s="1" t="s">
        <v>133</v>
      </c>
      <c r="L78" s="3">
        <v>10</v>
      </c>
      <c r="M78" s="3">
        <v>5.0000000000000002E-5</v>
      </c>
      <c r="N78" s="54">
        <v>47</v>
      </c>
      <c r="O78" s="1" t="s">
        <v>364</v>
      </c>
      <c r="P78" s="1">
        <v>2012</v>
      </c>
      <c r="Q78" s="13" t="s">
        <v>363</v>
      </c>
    </row>
    <row r="79" spans="1:17" x14ac:dyDescent="0.15">
      <c r="A79" s="3">
        <v>308</v>
      </c>
      <c r="B79" s="42" t="s">
        <v>30</v>
      </c>
      <c r="C79" s="3">
        <v>49</v>
      </c>
      <c r="D79" s="2" t="s">
        <v>496</v>
      </c>
      <c r="E79" s="6">
        <v>1.67</v>
      </c>
      <c r="F79" s="46"/>
      <c r="G79" s="12">
        <v>7</v>
      </c>
      <c r="H79" s="3">
        <v>25</v>
      </c>
      <c r="I79" s="13" t="s">
        <v>401</v>
      </c>
      <c r="J79" s="2" t="s">
        <v>185</v>
      </c>
      <c r="K79" s="1" t="s">
        <v>133</v>
      </c>
      <c r="L79" s="3" t="s">
        <v>489</v>
      </c>
      <c r="M79" s="3" t="s">
        <v>488</v>
      </c>
      <c r="N79" s="54">
        <v>76</v>
      </c>
      <c r="O79" s="1" t="s">
        <v>413</v>
      </c>
      <c r="P79" s="1">
        <v>2019</v>
      </c>
      <c r="Q79" s="13" t="s">
        <v>487</v>
      </c>
    </row>
    <row r="80" spans="1:17" x14ac:dyDescent="0.15">
      <c r="A80" s="3">
        <v>10</v>
      </c>
      <c r="B80" s="42" t="s">
        <v>30</v>
      </c>
      <c r="C80" s="3">
        <v>50</v>
      </c>
      <c r="D80" s="2" t="s">
        <v>637</v>
      </c>
      <c r="E80" s="5">
        <v>325</v>
      </c>
      <c r="F80" s="9">
        <v>16</v>
      </c>
      <c r="G80" s="12">
        <v>13</v>
      </c>
      <c r="H80" s="3">
        <v>25</v>
      </c>
      <c r="I80" s="13" t="s">
        <v>47</v>
      </c>
      <c r="J80" s="2" t="s">
        <v>23</v>
      </c>
      <c r="K80" s="1" t="s">
        <v>24</v>
      </c>
      <c r="L80" s="3" t="s">
        <v>52</v>
      </c>
      <c r="M80" s="3" t="s">
        <v>53</v>
      </c>
      <c r="N80" s="54">
        <v>2</v>
      </c>
      <c r="O80" s="1" t="s">
        <v>19</v>
      </c>
      <c r="P80" s="1">
        <v>1966</v>
      </c>
      <c r="Q80" s="13" t="s">
        <v>45</v>
      </c>
    </row>
    <row r="81" spans="1:17" x14ac:dyDescent="0.15">
      <c r="A81" s="3">
        <v>254</v>
      </c>
      <c r="B81" s="42" t="s">
        <v>30</v>
      </c>
      <c r="D81" s="2" t="s">
        <v>398</v>
      </c>
      <c r="E81" s="6">
        <v>9</v>
      </c>
      <c r="F81" s="9">
        <v>4</v>
      </c>
      <c r="G81" s="12">
        <v>7</v>
      </c>
      <c r="H81" s="3">
        <v>25</v>
      </c>
      <c r="I81" s="13" t="s">
        <v>401</v>
      </c>
      <c r="J81" s="2" t="s">
        <v>185</v>
      </c>
      <c r="K81" s="1" t="s">
        <v>133</v>
      </c>
      <c r="L81" s="3" t="s">
        <v>403</v>
      </c>
      <c r="M81" s="3" t="s">
        <v>402</v>
      </c>
      <c r="N81" s="54">
        <v>54</v>
      </c>
      <c r="O81" s="1" t="s">
        <v>285</v>
      </c>
      <c r="P81" s="1">
        <v>2014</v>
      </c>
      <c r="Q81" s="13" t="s">
        <v>395</v>
      </c>
    </row>
    <row r="82" spans="1:17" x14ac:dyDescent="0.15">
      <c r="A82" s="3">
        <v>279</v>
      </c>
      <c r="B82" s="42" t="s">
        <v>30</v>
      </c>
      <c r="D82" s="2" t="s">
        <v>398</v>
      </c>
      <c r="E82" s="6">
        <v>4.5</v>
      </c>
      <c r="F82" s="46">
        <v>0.3</v>
      </c>
      <c r="G82" s="12">
        <v>7</v>
      </c>
      <c r="H82" s="3">
        <v>25</v>
      </c>
      <c r="I82" s="13" t="s">
        <v>452</v>
      </c>
      <c r="J82" s="2" t="s">
        <v>185</v>
      </c>
      <c r="K82" s="1" t="s">
        <v>133</v>
      </c>
      <c r="L82" s="3" t="s">
        <v>456</v>
      </c>
      <c r="M82" s="3" t="s">
        <v>453</v>
      </c>
      <c r="N82" s="54">
        <v>67</v>
      </c>
      <c r="O82" s="1" t="s">
        <v>449</v>
      </c>
      <c r="P82" s="1">
        <v>2018</v>
      </c>
      <c r="Q82" s="13" t="s">
        <v>448</v>
      </c>
    </row>
    <row r="83" spans="1:17" x14ac:dyDescent="0.15">
      <c r="A83" s="3">
        <v>340</v>
      </c>
      <c r="B83" s="42" t="s">
        <v>30</v>
      </c>
      <c r="C83" s="3">
        <v>51</v>
      </c>
      <c r="D83" s="2" t="s">
        <v>398</v>
      </c>
      <c r="E83" s="6">
        <f>AVERAGE(E81:E82)</f>
        <v>6.75</v>
      </c>
      <c r="F83" s="46">
        <f>SQRT(F81^2+F82^2)</f>
        <v>4.0112342240263157</v>
      </c>
      <c r="G83" s="12">
        <v>7</v>
      </c>
      <c r="H83" s="3">
        <v>25</v>
      </c>
      <c r="I83" s="13" t="s">
        <v>718</v>
      </c>
      <c r="J83" s="2"/>
      <c r="L83" s="3"/>
      <c r="M83" s="3"/>
      <c r="N83" s="54" t="s">
        <v>719</v>
      </c>
      <c r="Q83" s="13"/>
    </row>
    <row r="84" spans="1:17" x14ac:dyDescent="0.15">
      <c r="A84" s="3">
        <v>305</v>
      </c>
      <c r="B84" s="42" t="s">
        <v>30</v>
      </c>
      <c r="C84" s="3">
        <v>52</v>
      </c>
      <c r="D84" s="2" t="s">
        <v>493</v>
      </c>
      <c r="E84" s="6">
        <v>1.1299999999999999</v>
      </c>
      <c r="F84" s="46"/>
      <c r="G84" s="12">
        <v>7</v>
      </c>
      <c r="H84" s="3">
        <v>25</v>
      </c>
      <c r="I84" s="13" t="s">
        <v>401</v>
      </c>
      <c r="J84" s="2" t="s">
        <v>185</v>
      </c>
      <c r="K84" s="1" t="s">
        <v>133</v>
      </c>
      <c r="L84" s="3" t="s">
        <v>489</v>
      </c>
      <c r="M84" s="3" t="s">
        <v>488</v>
      </c>
      <c r="N84" s="54">
        <v>76</v>
      </c>
      <c r="O84" s="1" t="s">
        <v>413</v>
      </c>
      <c r="P84" s="1">
        <v>2019</v>
      </c>
      <c r="Q84" s="13" t="s">
        <v>487</v>
      </c>
    </row>
    <row r="85" spans="1:17" x14ac:dyDescent="0.15">
      <c r="A85" s="3">
        <v>60</v>
      </c>
      <c r="B85" s="42" t="s">
        <v>30</v>
      </c>
      <c r="C85" s="3">
        <v>53</v>
      </c>
      <c r="D85" s="2" t="s">
        <v>734</v>
      </c>
      <c r="E85" s="5">
        <v>678</v>
      </c>
      <c r="F85" s="9">
        <v>16</v>
      </c>
      <c r="G85" s="12">
        <v>11.3</v>
      </c>
      <c r="H85" s="3">
        <v>25</v>
      </c>
      <c r="I85" s="13" t="s">
        <v>658</v>
      </c>
      <c r="J85" s="2" t="s">
        <v>23</v>
      </c>
      <c r="K85" s="1" t="s">
        <v>24</v>
      </c>
      <c r="L85" s="3">
        <v>20</v>
      </c>
      <c r="M85" s="3">
        <v>7.6E-3</v>
      </c>
      <c r="N85" s="54">
        <v>12</v>
      </c>
      <c r="O85" s="1" t="s">
        <v>117</v>
      </c>
      <c r="P85" s="1">
        <v>1985</v>
      </c>
      <c r="Q85" s="13" t="s">
        <v>116</v>
      </c>
    </row>
    <row r="86" spans="1:17" x14ac:dyDescent="0.15">
      <c r="A86" s="3">
        <v>17</v>
      </c>
      <c r="B86" s="42" t="s">
        <v>30</v>
      </c>
      <c r="C86" s="3">
        <v>53.1</v>
      </c>
      <c r="D86" s="2" t="s">
        <v>734</v>
      </c>
      <c r="E86" s="5">
        <v>302</v>
      </c>
      <c r="F86" s="9">
        <v>15</v>
      </c>
      <c r="G86" s="12">
        <v>13</v>
      </c>
      <c r="H86" s="3">
        <v>0.5</v>
      </c>
      <c r="I86" s="13" t="s">
        <v>47</v>
      </c>
      <c r="J86" s="2" t="s">
        <v>23</v>
      </c>
      <c r="K86" s="1" t="s">
        <v>24</v>
      </c>
      <c r="L86" s="3" t="s">
        <v>576</v>
      </c>
      <c r="M86" s="3" t="s">
        <v>60</v>
      </c>
      <c r="N86" s="54">
        <v>2</v>
      </c>
      <c r="O86" s="1" t="s">
        <v>19</v>
      </c>
      <c r="P86" s="1">
        <v>1966</v>
      </c>
      <c r="Q86" s="13" t="s">
        <v>45</v>
      </c>
    </row>
    <row r="87" spans="1:17" x14ac:dyDescent="0.15">
      <c r="A87" s="3">
        <v>106</v>
      </c>
      <c r="B87" s="42" t="s">
        <v>30</v>
      </c>
      <c r="C87" s="3">
        <v>54.2</v>
      </c>
      <c r="D87" s="2" t="s">
        <v>179</v>
      </c>
      <c r="E87" s="8">
        <f>0.0451/60/(0.002/158)</f>
        <v>59.381666666666661</v>
      </c>
      <c r="F87" s="48"/>
      <c r="G87" s="12">
        <v>7.2</v>
      </c>
      <c r="H87" s="3">
        <v>16</v>
      </c>
      <c r="I87" s="13" t="s">
        <v>178</v>
      </c>
      <c r="J87" s="2" t="s">
        <v>136</v>
      </c>
      <c r="K87" s="1" t="s">
        <v>133</v>
      </c>
      <c r="L87" s="5">
        <f>13/(100/128.5)</f>
        <v>16.704999999999998</v>
      </c>
      <c r="M87" s="3">
        <v>1.2999999999999999E-5</v>
      </c>
      <c r="N87" s="54">
        <v>25</v>
      </c>
      <c r="O87" s="1" t="s">
        <v>177</v>
      </c>
      <c r="P87" s="1">
        <v>2003</v>
      </c>
      <c r="Q87" s="13" t="s">
        <v>176</v>
      </c>
    </row>
    <row r="88" spans="1:17" x14ac:dyDescent="0.15">
      <c r="A88" s="3">
        <v>224</v>
      </c>
      <c r="B88" s="42" t="s">
        <v>30</v>
      </c>
      <c r="C88" s="3">
        <v>54.1</v>
      </c>
      <c r="D88" s="2" t="s">
        <v>179</v>
      </c>
      <c r="E88" s="6">
        <v>4.2</v>
      </c>
      <c r="F88" s="46">
        <f>0.022/6.26*E88</f>
        <v>1.476038338658147E-2</v>
      </c>
      <c r="G88" s="12">
        <v>5.3</v>
      </c>
      <c r="H88" s="3">
        <v>22</v>
      </c>
      <c r="I88" s="13" t="s">
        <v>686</v>
      </c>
      <c r="J88" s="2" t="s">
        <v>23</v>
      </c>
      <c r="K88" s="1" t="s">
        <v>133</v>
      </c>
      <c r="L88" s="3">
        <v>9.4</v>
      </c>
      <c r="M88" s="3">
        <v>1.5E-3</v>
      </c>
      <c r="N88" s="54">
        <v>46</v>
      </c>
      <c r="O88" s="1" t="s">
        <v>362</v>
      </c>
      <c r="P88" s="1">
        <v>2011</v>
      </c>
      <c r="Q88" s="13" t="s">
        <v>361</v>
      </c>
    </row>
    <row r="89" spans="1:17" x14ac:dyDescent="0.15">
      <c r="A89" s="3">
        <v>230</v>
      </c>
      <c r="B89" s="42" t="s">
        <v>30</v>
      </c>
      <c r="C89" s="3">
        <v>54</v>
      </c>
      <c r="D89" s="2" t="s">
        <v>179</v>
      </c>
      <c r="E89" s="6">
        <v>8.4</v>
      </c>
      <c r="F89" s="46"/>
      <c r="G89" s="12">
        <v>7</v>
      </c>
      <c r="H89" s="3">
        <v>25</v>
      </c>
      <c r="I89" s="13" t="s">
        <v>368</v>
      </c>
      <c r="J89" s="2" t="s">
        <v>185</v>
      </c>
      <c r="K89" s="1" t="s">
        <v>133</v>
      </c>
      <c r="L89" s="3">
        <v>10</v>
      </c>
      <c r="M89" s="3">
        <v>5.0000000000000002E-5</v>
      </c>
      <c r="N89" s="54">
        <v>47</v>
      </c>
      <c r="O89" s="1" t="s">
        <v>364</v>
      </c>
      <c r="P89" s="1">
        <v>2012</v>
      </c>
      <c r="Q89" s="13" t="s">
        <v>363</v>
      </c>
    </row>
    <row r="90" spans="1:17" x14ac:dyDescent="0.15">
      <c r="A90" s="3">
        <v>321</v>
      </c>
      <c r="B90" s="42" t="s">
        <v>30</v>
      </c>
      <c r="C90" s="3">
        <v>55</v>
      </c>
      <c r="D90" s="2" t="s">
        <v>557</v>
      </c>
      <c r="E90" s="3">
        <v>8.6300000000000008</v>
      </c>
      <c r="F90" s="24">
        <v>0.57999999999999996</v>
      </c>
      <c r="G90" s="12">
        <v>5.3</v>
      </c>
      <c r="H90" s="5">
        <v>23</v>
      </c>
      <c r="I90" s="13" t="s">
        <v>148</v>
      </c>
      <c r="J90" s="2" t="s">
        <v>23</v>
      </c>
      <c r="K90" s="1" t="s">
        <v>24</v>
      </c>
      <c r="L90" s="3" t="s">
        <v>566</v>
      </c>
      <c r="M90" s="3" t="s">
        <v>561</v>
      </c>
      <c r="N90" s="54">
        <v>83</v>
      </c>
      <c r="O90" s="1" t="s">
        <v>891</v>
      </c>
      <c r="P90" s="1">
        <v>2022</v>
      </c>
      <c r="Q90" s="13" t="s">
        <v>892</v>
      </c>
    </row>
    <row r="91" spans="1:17" x14ac:dyDescent="0.15">
      <c r="A91" s="3">
        <v>281</v>
      </c>
      <c r="B91" s="42" t="s">
        <v>30</v>
      </c>
      <c r="C91" s="3">
        <v>56</v>
      </c>
      <c r="D91" s="2" t="s">
        <v>451</v>
      </c>
      <c r="E91" s="6">
        <v>0.48</v>
      </c>
      <c r="F91" s="46">
        <v>3.2000000000000001E-2</v>
      </c>
      <c r="G91" s="12">
        <v>7</v>
      </c>
      <c r="H91" s="3">
        <v>25</v>
      </c>
      <c r="I91" s="13" t="s">
        <v>452</v>
      </c>
      <c r="J91" s="2" t="s">
        <v>185</v>
      </c>
      <c r="K91" s="1" t="s">
        <v>133</v>
      </c>
      <c r="L91" s="3" t="s">
        <v>456</v>
      </c>
      <c r="M91" s="3" t="s">
        <v>453</v>
      </c>
      <c r="N91" s="54">
        <v>67</v>
      </c>
      <c r="O91" s="1" t="s">
        <v>449</v>
      </c>
      <c r="P91" s="1">
        <v>2018</v>
      </c>
      <c r="Q91" s="13" t="s">
        <v>448</v>
      </c>
    </row>
    <row r="92" spans="1:17" x14ac:dyDescent="0.15">
      <c r="A92" s="3">
        <v>16</v>
      </c>
      <c r="B92" s="42" t="s">
        <v>30</v>
      </c>
      <c r="C92" s="3">
        <v>57</v>
      </c>
      <c r="D92" s="2" t="s">
        <v>643</v>
      </c>
      <c r="E92" s="5">
        <v>272</v>
      </c>
      <c r="F92" s="9">
        <v>14</v>
      </c>
      <c r="G92" s="12">
        <v>6.5</v>
      </c>
      <c r="H92" s="3">
        <v>0.5</v>
      </c>
      <c r="I92" s="13" t="s">
        <v>46</v>
      </c>
      <c r="J92" s="2" t="s">
        <v>23</v>
      </c>
      <c r="K92" s="1" t="s">
        <v>24</v>
      </c>
      <c r="L92" s="3" t="s">
        <v>576</v>
      </c>
      <c r="M92" s="3" t="s">
        <v>60</v>
      </c>
      <c r="N92" s="54">
        <v>2</v>
      </c>
      <c r="O92" s="1" t="s">
        <v>19</v>
      </c>
      <c r="P92" s="1">
        <v>1966</v>
      </c>
      <c r="Q92" s="13" t="s">
        <v>45</v>
      </c>
    </row>
    <row r="93" spans="1:17" x14ac:dyDescent="0.15">
      <c r="A93" s="3">
        <v>302</v>
      </c>
      <c r="B93" s="42" t="s">
        <v>30</v>
      </c>
      <c r="C93" s="3">
        <v>58</v>
      </c>
      <c r="D93" s="2" t="s">
        <v>491</v>
      </c>
      <c r="E93" s="5">
        <v>305.27999999999997</v>
      </c>
      <c r="F93" s="9"/>
      <c r="G93" s="12">
        <v>7</v>
      </c>
      <c r="H93" s="3">
        <v>25</v>
      </c>
      <c r="I93" s="13" t="s">
        <v>401</v>
      </c>
      <c r="J93" s="2" t="s">
        <v>185</v>
      </c>
      <c r="K93" s="1" t="s">
        <v>133</v>
      </c>
      <c r="L93" s="3" t="s">
        <v>489</v>
      </c>
      <c r="M93" s="3" t="s">
        <v>488</v>
      </c>
      <c r="N93" s="54">
        <v>76</v>
      </c>
      <c r="O93" s="1" t="s">
        <v>413</v>
      </c>
      <c r="P93" s="1">
        <v>2019</v>
      </c>
      <c r="Q93" s="13" t="s">
        <v>487</v>
      </c>
    </row>
    <row r="94" spans="1:17" x14ac:dyDescent="0.15">
      <c r="A94" s="3">
        <v>15</v>
      </c>
      <c r="B94" s="42" t="s">
        <v>30</v>
      </c>
      <c r="C94" s="3">
        <v>59.1</v>
      </c>
      <c r="D94" s="2" t="s">
        <v>642</v>
      </c>
      <c r="E94" s="5">
        <v>260</v>
      </c>
      <c r="F94" s="9">
        <v>14</v>
      </c>
      <c r="G94" s="12">
        <v>6.5</v>
      </c>
      <c r="H94" s="3">
        <v>0.5</v>
      </c>
      <c r="I94" s="13" t="s">
        <v>46</v>
      </c>
      <c r="J94" s="2" t="s">
        <v>23</v>
      </c>
      <c r="K94" s="1" t="s">
        <v>24</v>
      </c>
      <c r="L94" s="3" t="s">
        <v>576</v>
      </c>
      <c r="M94" s="3" t="s">
        <v>60</v>
      </c>
      <c r="N94" s="54">
        <v>2</v>
      </c>
      <c r="O94" s="1" t="s">
        <v>19</v>
      </c>
      <c r="P94" s="1">
        <v>1966</v>
      </c>
      <c r="Q94" s="13" t="s">
        <v>45</v>
      </c>
    </row>
    <row r="95" spans="1:17" x14ac:dyDescent="0.15">
      <c r="A95" s="3">
        <v>57</v>
      </c>
      <c r="B95" s="42" t="s">
        <v>30</v>
      </c>
      <c r="C95" s="3">
        <v>59</v>
      </c>
      <c r="D95" s="2" t="s">
        <v>642</v>
      </c>
      <c r="E95" s="5">
        <v>699</v>
      </c>
      <c r="F95" s="9">
        <v>11</v>
      </c>
      <c r="G95" s="12">
        <v>11.3</v>
      </c>
      <c r="H95" s="3">
        <v>25</v>
      </c>
      <c r="I95" s="13" t="s">
        <v>658</v>
      </c>
      <c r="J95" s="2" t="s">
        <v>23</v>
      </c>
      <c r="K95" s="1" t="s">
        <v>24</v>
      </c>
      <c r="L95" s="3">
        <v>10</v>
      </c>
      <c r="M95" s="3">
        <v>3.8E-3</v>
      </c>
      <c r="N95" s="54">
        <v>12</v>
      </c>
      <c r="O95" s="1" t="s">
        <v>117</v>
      </c>
      <c r="P95" s="1">
        <v>1985</v>
      </c>
      <c r="Q95" s="13" t="s">
        <v>116</v>
      </c>
    </row>
    <row r="96" spans="1:17" x14ac:dyDescent="0.15">
      <c r="A96" s="3">
        <v>150</v>
      </c>
      <c r="B96" s="42" t="s">
        <v>30</v>
      </c>
      <c r="C96" s="3">
        <v>60.1</v>
      </c>
      <c r="D96" s="2" t="s">
        <v>529</v>
      </c>
      <c r="E96" s="5">
        <v>237</v>
      </c>
      <c r="F96" s="9">
        <v>3</v>
      </c>
      <c r="G96" s="29">
        <v>7</v>
      </c>
      <c r="H96" s="5">
        <v>25</v>
      </c>
      <c r="I96" s="13" t="s">
        <v>112</v>
      </c>
      <c r="J96" s="2" t="s">
        <v>23</v>
      </c>
      <c r="K96" s="1" t="s">
        <v>24</v>
      </c>
      <c r="L96" s="3" t="s">
        <v>255</v>
      </c>
      <c r="M96" s="3" t="s">
        <v>256</v>
      </c>
      <c r="N96" s="54">
        <v>31</v>
      </c>
      <c r="O96" s="1" t="s">
        <v>222</v>
      </c>
      <c r="P96" s="1">
        <v>2006</v>
      </c>
      <c r="Q96" s="13" t="s">
        <v>223</v>
      </c>
    </row>
    <row r="97" spans="1:17" x14ac:dyDescent="0.15">
      <c r="A97" s="3">
        <v>284</v>
      </c>
      <c r="B97" s="42" t="s">
        <v>76</v>
      </c>
      <c r="C97" s="3">
        <v>60</v>
      </c>
      <c r="D97" s="2" t="s">
        <v>529</v>
      </c>
      <c r="E97" s="8">
        <v>82.5</v>
      </c>
      <c r="F97" s="48">
        <v>5.2</v>
      </c>
      <c r="G97" s="12">
        <v>7</v>
      </c>
      <c r="H97" s="3">
        <v>25</v>
      </c>
      <c r="I97" s="13" t="s">
        <v>452</v>
      </c>
      <c r="J97" s="2" t="s">
        <v>185</v>
      </c>
      <c r="K97" s="1" t="s">
        <v>133</v>
      </c>
      <c r="L97" s="3" t="s">
        <v>456</v>
      </c>
      <c r="M97" s="3" t="s">
        <v>453</v>
      </c>
      <c r="N97" s="54">
        <v>67</v>
      </c>
      <c r="O97" s="1" t="s">
        <v>449</v>
      </c>
      <c r="P97" s="1">
        <v>2018</v>
      </c>
      <c r="Q97" s="13" t="s">
        <v>448</v>
      </c>
    </row>
    <row r="98" spans="1:17" x14ac:dyDescent="0.15">
      <c r="A98" s="3">
        <v>240</v>
      </c>
      <c r="B98" s="42" t="s">
        <v>76</v>
      </c>
      <c r="D98" s="2" t="s">
        <v>532</v>
      </c>
      <c r="E98" s="8">
        <v>63.9</v>
      </c>
      <c r="F98" s="48"/>
      <c r="G98" s="12">
        <v>7</v>
      </c>
      <c r="H98" s="3">
        <v>25</v>
      </c>
      <c r="I98" s="13" t="s">
        <v>355</v>
      </c>
      <c r="J98" s="2" t="s">
        <v>376</v>
      </c>
      <c r="K98" s="1" t="s">
        <v>133</v>
      </c>
      <c r="L98" s="3" t="s">
        <v>165</v>
      </c>
      <c r="M98" s="3" t="s">
        <v>375</v>
      </c>
      <c r="N98" s="54">
        <v>48</v>
      </c>
      <c r="O98" s="1" t="s">
        <v>285</v>
      </c>
      <c r="P98" s="1">
        <v>2012</v>
      </c>
      <c r="Q98" s="13" t="s">
        <v>370</v>
      </c>
    </row>
    <row r="99" spans="1:17" x14ac:dyDescent="0.15">
      <c r="A99" s="3">
        <v>287</v>
      </c>
      <c r="B99" s="42" t="s">
        <v>30</v>
      </c>
      <c r="D99" s="2" t="s">
        <v>532</v>
      </c>
      <c r="E99" s="8">
        <v>74</v>
      </c>
      <c r="F99" s="48">
        <v>5.0999999999999996</v>
      </c>
      <c r="G99" s="12">
        <v>7</v>
      </c>
      <c r="H99" s="3">
        <v>25</v>
      </c>
      <c r="I99" s="13" t="s">
        <v>452</v>
      </c>
      <c r="J99" s="2" t="s">
        <v>185</v>
      </c>
      <c r="K99" s="1" t="s">
        <v>133</v>
      </c>
      <c r="L99" s="3" t="s">
        <v>456</v>
      </c>
      <c r="M99" s="3" t="s">
        <v>453</v>
      </c>
      <c r="N99" s="54">
        <v>67</v>
      </c>
      <c r="O99" s="1" t="s">
        <v>449</v>
      </c>
      <c r="P99" s="1">
        <v>2018</v>
      </c>
      <c r="Q99" s="13" t="s">
        <v>448</v>
      </c>
    </row>
    <row r="100" spans="1:17" x14ac:dyDescent="0.15">
      <c r="A100" s="3">
        <v>341</v>
      </c>
      <c r="B100" s="42" t="s">
        <v>30</v>
      </c>
      <c r="C100" s="3">
        <v>61</v>
      </c>
      <c r="D100" s="2" t="s">
        <v>532</v>
      </c>
      <c r="E100" s="8">
        <f>AVERAGE(E98:E99)</f>
        <v>68.95</v>
      </c>
      <c r="F100" s="48">
        <f>STDEV(E98:E99)</f>
        <v>7.141778489984131</v>
      </c>
      <c r="G100" s="12">
        <v>7</v>
      </c>
      <c r="H100" s="3">
        <v>25</v>
      </c>
      <c r="I100" s="13" t="s">
        <v>740</v>
      </c>
      <c r="J100" s="2"/>
      <c r="L100" s="3"/>
      <c r="M100" s="3"/>
      <c r="N100" s="54" t="s">
        <v>741</v>
      </c>
      <c r="Q100" s="13"/>
    </row>
    <row r="101" spans="1:17" x14ac:dyDescent="0.15">
      <c r="A101" s="3">
        <v>39</v>
      </c>
      <c r="B101" s="42" t="s">
        <v>30</v>
      </c>
      <c r="C101" s="3">
        <v>62</v>
      </c>
      <c r="D101" s="2" t="s">
        <v>530</v>
      </c>
      <c r="E101" s="7">
        <f>0.0116</f>
        <v>1.1599999999999999E-2</v>
      </c>
      <c r="F101" s="45"/>
      <c r="G101" s="12">
        <v>6.8</v>
      </c>
      <c r="H101" s="3">
        <v>35</v>
      </c>
      <c r="I101" s="13" t="s">
        <v>652</v>
      </c>
      <c r="J101" s="2" t="s">
        <v>68</v>
      </c>
      <c r="K101" s="1" t="s">
        <v>24</v>
      </c>
      <c r="L101" s="5">
        <f>M101/0.0002</f>
        <v>5.47</v>
      </c>
      <c r="M101" s="3">
        <v>1.0939999999999999E-3</v>
      </c>
      <c r="N101" s="54">
        <v>8</v>
      </c>
      <c r="O101" s="1" t="s">
        <v>94</v>
      </c>
      <c r="P101" s="1">
        <v>1976</v>
      </c>
      <c r="Q101" s="13" t="s">
        <v>95</v>
      </c>
    </row>
    <row r="102" spans="1:17" x14ac:dyDescent="0.15">
      <c r="A102" s="3">
        <v>65</v>
      </c>
      <c r="B102" s="42" t="s">
        <v>30</v>
      </c>
      <c r="C102" s="3">
        <v>63</v>
      </c>
      <c r="D102" s="2" t="s">
        <v>739</v>
      </c>
      <c r="E102" s="3">
        <v>1190</v>
      </c>
      <c r="F102" s="24">
        <v>20</v>
      </c>
      <c r="G102" s="12">
        <v>11.3</v>
      </c>
      <c r="H102" s="3">
        <v>25</v>
      </c>
      <c r="I102" s="13" t="s">
        <v>658</v>
      </c>
      <c r="J102" s="2" t="s">
        <v>23</v>
      </c>
      <c r="K102" s="1" t="s">
        <v>24</v>
      </c>
      <c r="L102" s="3">
        <v>20</v>
      </c>
      <c r="M102" s="3">
        <v>7.6E-3</v>
      </c>
      <c r="N102" s="54">
        <v>12</v>
      </c>
      <c r="O102" s="1" t="s">
        <v>117</v>
      </c>
      <c r="P102" s="1">
        <v>1985</v>
      </c>
      <c r="Q102" s="13" t="s">
        <v>116</v>
      </c>
    </row>
    <row r="103" spans="1:17" x14ac:dyDescent="0.15">
      <c r="A103" s="3">
        <v>36</v>
      </c>
      <c r="B103" s="42" t="s">
        <v>30</v>
      </c>
      <c r="D103" s="2" t="s">
        <v>531</v>
      </c>
      <c r="E103" s="7">
        <f>0.0978</f>
        <v>9.7799999999999998E-2</v>
      </c>
      <c r="F103" s="45"/>
      <c r="G103" s="12">
        <v>6.8</v>
      </c>
      <c r="H103" s="3">
        <v>35</v>
      </c>
      <c r="I103" s="13" t="s">
        <v>652</v>
      </c>
      <c r="J103" s="2" t="s">
        <v>68</v>
      </c>
      <c r="K103" s="1" t="s">
        <v>24</v>
      </c>
      <c r="L103" s="5">
        <f>M103/0.0002</f>
        <v>5.2549999999999999</v>
      </c>
      <c r="M103" s="96">
        <v>1.0510000000000001E-3</v>
      </c>
      <c r="N103" s="54">
        <v>8</v>
      </c>
      <c r="O103" s="1" t="s">
        <v>94</v>
      </c>
      <c r="P103" s="1">
        <v>1976</v>
      </c>
      <c r="Q103" s="13" t="s">
        <v>95</v>
      </c>
    </row>
    <row r="104" spans="1:17" x14ac:dyDescent="0.15">
      <c r="A104" s="3">
        <v>318</v>
      </c>
      <c r="B104" s="42" t="s">
        <v>30</v>
      </c>
      <c r="D104" s="2" t="s">
        <v>531</v>
      </c>
      <c r="E104" s="3">
        <v>9.8000000000000004E-2</v>
      </c>
      <c r="F104" s="24">
        <v>0.03</v>
      </c>
      <c r="G104" s="12">
        <v>5.3</v>
      </c>
      <c r="H104" s="5">
        <v>23</v>
      </c>
      <c r="I104" s="13" t="s">
        <v>148</v>
      </c>
      <c r="J104" s="2" t="s">
        <v>23</v>
      </c>
      <c r="K104" s="1" t="s">
        <v>24</v>
      </c>
      <c r="L104" s="3" t="s">
        <v>565</v>
      </c>
      <c r="M104" s="3" t="s">
        <v>560</v>
      </c>
      <c r="N104" s="54">
        <v>83</v>
      </c>
      <c r="O104" s="1" t="s">
        <v>891</v>
      </c>
      <c r="P104" s="1">
        <v>2022</v>
      </c>
      <c r="Q104" s="13" t="s">
        <v>892</v>
      </c>
    </row>
    <row r="105" spans="1:17" x14ac:dyDescent="0.15">
      <c r="A105" s="3">
        <v>342</v>
      </c>
      <c r="B105" s="42" t="s">
        <v>30</v>
      </c>
      <c r="C105" s="3">
        <v>64</v>
      </c>
      <c r="D105" s="2" t="s">
        <v>531</v>
      </c>
      <c r="E105" s="7">
        <f>AVERAGE(E103:E104)</f>
        <v>9.7900000000000001E-2</v>
      </c>
      <c r="F105" s="24">
        <f>SQRT(F103^2+F104^2)</f>
        <v>0.03</v>
      </c>
      <c r="G105" s="12" t="s">
        <v>742</v>
      </c>
      <c r="H105" s="5" t="s">
        <v>743</v>
      </c>
      <c r="I105" s="13" t="s">
        <v>148</v>
      </c>
      <c r="J105" s="2"/>
      <c r="L105" s="3"/>
      <c r="M105" s="3"/>
      <c r="N105" s="54" t="s">
        <v>744</v>
      </c>
      <c r="Q105" s="13"/>
    </row>
    <row r="106" spans="1:17" x14ac:dyDescent="0.15">
      <c r="A106" s="3">
        <v>268</v>
      </c>
      <c r="B106" s="42" t="s">
        <v>76</v>
      </c>
      <c r="C106" s="3">
        <v>65</v>
      </c>
      <c r="D106" s="2" t="s">
        <v>440</v>
      </c>
      <c r="E106" s="4">
        <f>0.028/0.05/60/60</f>
        <v>1.5555555555555554E-4</v>
      </c>
      <c r="F106" s="47">
        <f>0.002/0.028*E106</f>
        <v>1.1111111111111108E-5</v>
      </c>
      <c r="G106" s="12">
        <v>7.2</v>
      </c>
      <c r="H106" s="3" t="s">
        <v>75</v>
      </c>
      <c r="I106" s="13" t="s">
        <v>612</v>
      </c>
      <c r="J106" s="2" t="s">
        <v>23</v>
      </c>
      <c r="K106" s="1" t="s">
        <v>133</v>
      </c>
      <c r="L106" s="3">
        <v>38.5</v>
      </c>
      <c r="M106" s="3">
        <v>0.05</v>
      </c>
      <c r="N106" s="54">
        <v>64</v>
      </c>
      <c r="O106" s="1" t="s">
        <v>438</v>
      </c>
      <c r="P106" s="1">
        <v>2017</v>
      </c>
      <c r="Q106" s="13" t="s">
        <v>439</v>
      </c>
    </row>
    <row r="107" spans="1:17" x14ac:dyDescent="0.15">
      <c r="A107" s="3">
        <v>13</v>
      </c>
      <c r="B107" s="42" t="s">
        <v>30</v>
      </c>
      <c r="C107" s="3">
        <v>66</v>
      </c>
      <c r="D107" s="2" t="s">
        <v>640</v>
      </c>
      <c r="E107" s="5">
        <v>167</v>
      </c>
      <c r="F107" s="9">
        <v>8</v>
      </c>
      <c r="G107" s="12">
        <v>13</v>
      </c>
      <c r="H107" s="3">
        <v>25</v>
      </c>
      <c r="I107" s="13" t="s">
        <v>47</v>
      </c>
      <c r="J107" s="2" t="s">
        <v>23</v>
      </c>
      <c r="K107" s="1" t="s">
        <v>24</v>
      </c>
      <c r="L107" s="3" t="s">
        <v>577</v>
      </c>
      <c r="M107" s="3" t="s">
        <v>27</v>
      </c>
      <c r="N107" s="54">
        <v>2</v>
      </c>
      <c r="O107" s="1" t="s">
        <v>19</v>
      </c>
      <c r="P107" s="1">
        <v>1966</v>
      </c>
      <c r="Q107" s="13" t="s">
        <v>45</v>
      </c>
    </row>
    <row r="108" spans="1:17" x14ac:dyDescent="0.15">
      <c r="A108" s="3">
        <v>55</v>
      </c>
      <c r="B108" s="42" t="s">
        <v>30</v>
      </c>
      <c r="C108" s="3">
        <v>67</v>
      </c>
      <c r="D108" s="2" t="s">
        <v>533</v>
      </c>
      <c r="E108" s="6">
        <v>2.59</v>
      </c>
      <c r="F108" s="46"/>
      <c r="G108" s="12">
        <v>6.7</v>
      </c>
      <c r="H108" s="3">
        <v>25</v>
      </c>
      <c r="I108" s="13" t="s">
        <v>112</v>
      </c>
      <c r="J108" s="2" t="s">
        <v>23</v>
      </c>
      <c r="K108" s="1" t="s">
        <v>24</v>
      </c>
      <c r="L108" s="3">
        <v>10</v>
      </c>
      <c r="M108" s="3">
        <v>4.0000000000000001E-3</v>
      </c>
      <c r="N108" s="54">
        <v>11</v>
      </c>
      <c r="O108" s="1" t="s">
        <v>111</v>
      </c>
      <c r="P108" s="1">
        <v>1981</v>
      </c>
      <c r="Q108" s="13" t="s">
        <v>110</v>
      </c>
    </row>
    <row r="109" spans="1:17" x14ac:dyDescent="0.15">
      <c r="A109" s="3">
        <v>53</v>
      </c>
      <c r="B109" s="42" t="s">
        <v>30</v>
      </c>
      <c r="C109" s="3">
        <v>68</v>
      </c>
      <c r="D109" s="2" t="s">
        <v>534</v>
      </c>
      <c r="E109" s="8">
        <v>13.7</v>
      </c>
      <c r="F109" s="48"/>
      <c r="G109" s="12">
        <v>6.7</v>
      </c>
      <c r="H109" s="3">
        <v>25</v>
      </c>
      <c r="I109" s="13" t="s">
        <v>112</v>
      </c>
      <c r="J109" s="2" t="s">
        <v>23</v>
      </c>
      <c r="K109" s="1" t="s">
        <v>24</v>
      </c>
      <c r="L109" s="3">
        <v>10</v>
      </c>
      <c r="M109" s="3">
        <v>4.0000000000000001E-3</v>
      </c>
      <c r="N109" s="54">
        <v>11</v>
      </c>
      <c r="O109" s="1" t="s">
        <v>111</v>
      </c>
      <c r="P109" s="1">
        <v>1981</v>
      </c>
      <c r="Q109" s="13" t="s">
        <v>110</v>
      </c>
    </row>
    <row r="110" spans="1:17" x14ac:dyDescent="0.15">
      <c r="A110" s="3">
        <v>52</v>
      </c>
      <c r="B110" s="42" t="s">
        <v>30</v>
      </c>
      <c r="C110" s="3">
        <v>69</v>
      </c>
      <c r="D110" s="2" t="s">
        <v>535</v>
      </c>
      <c r="E110" s="8">
        <v>11</v>
      </c>
      <c r="F110" s="48"/>
      <c r="G110" s="12">
        <v>6.7</v>
      </c>
      <c r="H110" s="3">
        <v>25</v>
      </c>
      <c r="I110" s="13" t="s">
        <v>112</v>
      </c>
      <c r="J110" s="2" t="s">
        <v>23</v>
      </c>
      <c r="K110" s="1" t="s">
        <v>24</v>
      </c>
      <c r="L110" s="3">
        <v>10</v>
      </c>
      <c r="M110" s="3">
        <v>4.0000000000000001E-3</v>
      </c>
      <c r="N110" s="54">
        <v>11</v>
      </c>
      <c r="O110" s="1" t="s">
        <v>111</v>
      </c>
      <c r="P110" s="1">
        <v>1981</v>
      </c>
      <c r="Q110" s="13" t="s">
        <v>110</v>
      </c>
    </row>
    <row r="111" spans="1:17" x14ac:dyDescent="0.15">
      <c r="A111" s="3">
        <v>51</v>
      </c>
      <c r="B111" s="42" t="s">
        <v>30</v>
      </c>
      <c r="C111" s="3">
        <v>70</v>
      </c>
      <c r="D111" s="2" t="s">
        <v>536</v>
      </c>
      <c r="E111" s="8">
        <v>70.599999999999994</v>
      </c>
      <c r="F111" s="48"/>
      <c r="G111" s="12">
        <v>6.7</v>
      </c>
      <c r="H111" s="3">
        <v>25</v>
      </c>
      <c r="I111" s="13" t="s">
        <v>112</v>
      </c>
      <c r="J111" s="2" t="s">
        <v>23</v>
      </c>
      <c r="K111" s="1" t="s">
        <v>24</v>
      </c>
      <c r="L111" s="3">
        <v>10</v>
      </c>
      <c r="M111" s="3">
        <v>4.0000000000000001E-3</v>
      </c>
      <c r="N111" s="54">
        <v>11</v>
      </c>
      <c r="O111" s="1" t="s">
        <v>111</v>
      </c>
      <c r="P111" s="1">
        <v>1981</v>
      </c>
      <c r="Q111" s="13" t="s">
        <v>110</v>
      </c>
    </row>
    <row r="112" spans="1:17" x14ac:dyDescent="0.15">
      <c r="A112" s="3">
        <v>54</v>
      </c>
      <c r="B112" s="42" t="s">
        <v>30</v>
      </c>
      <c r="C112" s="3">
        <v>71</v>
      </c>
      <c r="D112" s="2" t="s">
        <v>537</v>
      </c>
      <c r="E112" s="8">
        <v>16.100000000000001</v>
      </c>
      <c r="F112" s="48"/>
      <c r="G112" s="12">
        <v>6.7</v>
      </c>
      <c r="H112" s="3">
        <v>25</v>
      </c>
      <c r="I112" s="13" t="s">
        <v>112</v>
      </c>
      <c r="J112" s="2" t="s">
        <v>23</v>
      </c>
      <c r="K112" s="1" t="s">
        <v>24</v>
      </c>
      <c r="L112" s="3">
        <v>10</v>
      </c>
      <c r="M112" s="3">
        <v>4.0000000000000001E-3</v>
      </c>
      <c r="N112" s="54">
        <v>11</v>
      </c>
      <c r="O112" s="1" t="s">
        <v>111</v>
      </c>
      <c r="P112" s="1">
        <v>1981</v>
      </c>
      <c r="Q112" s="13" t="s">
        <v>110</v>
      </c>
    </row>
    <row r="113" spans="1:31" x14ac:dyDescent="0.15">
      <c r="A113" s="3">
        <v>49</v>
      </c>
      <c r="B113" s="42" t="s">
        <v>30</v>
      </c>
      <c r="C113" s="3">
        <v>72</v>
      </c>
      <c r="D113" s="2" t="s">
        <v>538</v>
      </c>
      <c r="E113" s="8">
        <v>16.100000000000001</v>
      </c>
      <c r="F113" s="48"/>
      <c r="G113" s="12">
        <v>6.7</v>
      </c>
      <c r="H113" s="3">
        <v>25</v>
      </c>
      <c r="I113" s="13" t="s">
        <v>112</v>
      </c>
      <c r="J113" s="2" t="s">
        <v>23</v>
      </c>
      <c r="K113" s="1" t="s">
        <v>24</v>
      </c>
      <c r="L113" s="3">
        <v>10</v>
      </c>
      <c r="M113" s="3">
        <v>4.0000000000000001E-3</v>
      </c>
      <c r="N113" s="54">
        <v>11</v>
      </c>
      <c r="O113" s="1" t="s">
        <v>111</v>
      </c>
      <c r="P113" s="1">
        <v>1981</v>
      </c>
      <c r="Q113" s="13" t="s">
        <v>110</v>
      </c>
    </row>
    <row r="114" spans="1:31" x14ac:dyDescent="0.15">
      <c r="A114" s="3">
        <v>56</v>
      </c>
      <c r="B114" s="42" t="s">
        <v>30</v>
      </c>
      <c r="C114" s="3">
        <v>73</v>
      </c>
      <c r="D114" s="2" t="s">
        <v>539</v>
      </c>
      <c r="E114" s="6">
        <v>2.62</v>
      </c>
      <c r="F114" s="46"/>
      <c r="G114" s="12">
        <v>6.7</v>
      </c>
      <c r="H114" s="3">
        <v>25</v>
      </c>
      <c r="I114" s="13" t="s">
        <v>112</v>
      </c>
      <c r="J114" s="2" t="s">
        <v>23</v>
      </c>
      <c r="K114" s="1" t="s">
        <v>24</v>
      </c>
      <c r="L114" s="3">
        <v>10</v>
      </c>
      <c r="M114" s="3">
        <v>4.0000000000000001E-3</v>
      </c>
      <c r="N114" s="54">
        <v>11</v>
      </c>
      <c r="O114" s="1" t="s">
        <v>111</v>
      </c>
      <c r="P114" s="1">
        <v>1981</v>
      </c>
      <c r="Q114" s="13" t="s">
        <v>110</v>
      </c>
    </row>
    <row r="115" spans="1:31" x14ac:dyDescent="0.15">
      <c r="A115" s="3">
        <v>241</v>
      </c>
      <c r="B115" s="42" t="s">
        <v>76</v>
      </c>
      <c r="C115" s="3">
        <v>74</v>
      </c>
      <c r="D115" s="2" t="s">
        <v>687</v>
      </c>
      <c r="E115" s="8">
        <v>122.2</v>
      </c>
      <c r="F115" s="48"/>
      <c r="G115" s="12">
        <v>7</v>
      </c>
      <c r="H115" s="3">
        <v>25</v>
      </c>
      <c r="I115" s="13" t="s">
        <v>355</v>
      </c>
      <c r="J115" s="2" t="s">
        <v>376</v>
      </c>
      <c r="K115" s="1" t="s">
        <v>133</v>
      </c>
      <c r="L115" s="3" t="s">
        <v>165</v>
      </c>
      <c r="M115" s="3" t="s">
        <v>375</v>
      </c>
      <c r="N115" s="54">
        <v>48</v>
      </c>
      <c r="O115" s="1" t="s">
        <v>285</v>
      </c>
      <c r="P115" s="1">
        <v>2012</v>
      </c>
      <c r="Q115" s="13" t="s">
        <v>370</v>
      </c>
    </row>
    <row r="116" spans="1:31" x14ac:dyDescent="0.15">
      <c r="A116" s="3">
        <v>50</v>
      </c>
      <c r="B116" s="42" t="s">
        <v>30</v>
      </c>
      <c r="C116" s="3">
        <v>75</v>
      </c>
      <c r="D116" s="2" t="s">
        <v>540</v>
      </c>
      <c r="E116" s="7">
        <v>8.3000000000000004E-2</v>
      </c>
      <c r="F116" s="45"/>
      <c r="G116" s="12">
        <v>6.7</v>
      </c>
      <c r="H116" s="3">
        <v>25</v>
      </c>
      <c r="I116" s="13" t="s">
        <v>112</v>
      </c>
      <c r="J116" s="2" t="s">
        <v>23</v>
      </c>
      <c r="K116" s="1" t="s">
        <v>24</v>
      </c>
      <c r="L116" s="3">
        <v>10</v>
      </c>
      <c r="M116" s="3">
        <v>4.0000000000000001E-3</v>
      </c>
      <c r="N116" s="54">
        <v>11</v>
      </c>
      <c r="O116" s="1" t="s">
        <v>111</v>
      </c>
      <c r="P116" s="1">
        <v>1981</v>
      </c>
      <c r="Q116" s="13" t="s">
        <v>110</v>
      </c>
    </row>
    <row r="117" spans="1:31" x14ac:dyDescent="0.15">
      <c r="A117" s="3">
        <v>121</v>
      </c>
      <c r="B117" s="42" t="s">
        <v>76</v>
      </c>
      <c r="C117" s="3">
        <v>76</v>
      </c>
      <c r="D117" s="2" t="s">
        <v>199</v>
      </c>
      <c r="E117" s="4">
        <v>2.0999999999999999E-3</v>
      </c>
      <c r="F117" s="47">
        <v>0.03</v>
      </c>
      <c r="G117" s="12">
        <v>5.6</v>
      </c>
      <c r="H117" s="3">
        <v>21</v>
      </c>
      <c r="I117" s="13" t="s">
        <v>148</v>
      </c>
      <c r="J117" s="2" t="s">
        <v>164</v>
      </c>
      <c r="K117" s="1" t="s">
        <v>133</v>
      </c>
      <c r="L117" s="3" t="s">
        <v>580</v>
      </c>
      <c r="M117" s="3" t="s">
        <v>206</v>
      </c>
      <c r="N117" s="54">
        <v>28</v>
      </c>
      <c r="O117" s="1" t="s">
        <v>193</v>
      </c>
      <c r="P117" s="1">
        <v>2004</v>
      </c>
      <c r="Q117" s="13" t="s">
        <v>194</v>
      </c>
    </row>
    <row r="118" spans="1:31" x14ac:dyDescent="0.15">
      <c r="A118" s="3">
        <v>171</v>
      </c>
      <c r="B118" s="42" t="s">
        <v>188</v>
      </c>
      <c r="C118" s="3">
        <v>77</v>
      </c>
      <c r="D118" s="2" t="s">
        <v>307</v>
      </c>
      <c r="E118" s="5">
        <v>1436</v>
      </c>
      <c r="F118" s="9">
        <f>49.3/359*E118</f>
        <v>197.2</v>
      </c>
      <c r="G118" s="12">
        <v>7</v>
      </c>
      <c r="H118" s="3" t="s">
        <v>75</v>
      </c>
      <c r="I118" s="13" t="s">
        <v>112</v>
      </c>
      <c r="J118" s="2" t="s">
        <v>23</v>
      </c>
      <c r="K118" s="1" t="s">
        <v>24</v>
      </c>
      <c r="L118" s="3">
        <v>5</v>
      </c>
      <c r="M118" s="3">
        <v>2.5000000000000001E-4</v>
      </c>
      <c r="N118" s="54">
        <v>40</v>
      </c>
      <c r="O118" s="1" t="s">
        <v>306</v>
      </c>
      <c r="P118" s="1">
        <v>2010</v>
      </c>
      <c r="Q118" s="13" t="s">
        <v>305</v>
      </c>
    </row>
    <row r="119" spans="1:31" x14ac:dyDescent="0.15">
      <c r="A119" s="3">
        <v>2</v>
      </c>
      <c r="B119" s="42" t="s">
        <v>30</v>
      </c>
      <c r="C119" s="3">
        <v>78</v>
      </c>
      <c r="D119" s="2" t="s">
        <v>25</v>
      </c>
      <c r="E119" s="5">
        <v>178</v>
      </c>
      <c r="F119" s="9">
        <f>1/105*E119</f>
        <v>1.6952380952380954</v>
      </c>
      <c r="G119" s="12">
        <v>13</v>
      </c>
      <c r="H119" s="3">
        <v>25</v>
      </c>
      <c r="I119" s="13" t="s">
        <v>22</v>
      </c>
      <c r="J119" s="2" t="s">
        <v>23</v>
      </c>
      <c r="K119" s="1" t="s">
        <v>24</v>
      </c>
      <c r="L119" s="3">
        <v>1.46</v>
      </c>
      <c r="M119" s="3">
        <v>5.8900000000000001E-4</v>
      </c>
      <c r="N119" s="54">
        <v>1</v>
      </c>
      <c r="O119" s="1" t="s">
        <v>19</v>
      </c>
      <c r="P119" s="1">
        <v>1965</v>
      </c>
      <c r="Q119" s="13" t="s">
        <v>20</v>
      </c>
    </row>
    <row r="120" spans="1:31" x14ac:dyDescent="0.15">
      <c r="A120" s="3">
        <v>1</v>
      </c>
      <c r="B120" s="42" t="s">
        <v>76</v>
      </c>
      <c r="C120" s="3">
        <v>79.099999999999994</v>
      </c>
      <c r="D120" s="2" t="s">
        <v>21</v>
      </c>
      <c r="E120" s="8">
        <v>10.6</v>
      </c>
      <c r="F120" s="48">
        <f>1/43*E120</f>
        <v>0.24651162790697673</v>
      </c>
      <c r="G120" s="12">
        <v>13</v>
      </c>
      <c r="H120" s="3">
        <v>25</v>
      </c>
      <c r="I120" s="13" t="s">
        <v>22</v>
      </c>
      <c r="J120" s="2" t="s">
        <v>23</v>
      </c>
      <c r="K120" s="1" t="s">
        <v>24</v>
      </c>
      <c r="L120" s="3">
        <v>10</v>
      </c>
      <c r="M120" s="96">
        <v>4.0499999999999998E-3</v>
      </c>
      <c r="N120" s="54">
        <v>1</v>
      </c>
      <c r="O120" s="1" t="s">
        <v>19</v>
      </c>
      <c r="P120" s="1">
        <v>1965</v>
      </c>
      <c r="Q120" s="13" t="s">
        <v>20</v>
      </c>
    </row>
    <row r="121" spans="1:31" x14ac:dyDescent="0.15">
      <c r="A121" s="3">
        <v>82</v>
      </c>
      <c r="B121" s="42" t="s">
        <v>76</v>
      </c>
      <c r="C121" s="3">
        <v>79</v>
      </c>
      <c r="D121" s="2" t="s">
        <v>21</v>
      </c>
      <c r="E121" s="4">
        <v>1.2999999999999999E-3</v>
      </c>
      <c r="F121" s="47"/>
      <c r="G121" s="12">
        <v>4.8</v>
      </c>
      <c r="H121" s="3">
        <v>25</v>
      </c>
      <c r="I121" s="13" t="s">
        <v>668</v>
      </c>
      <c r="J121" s="2" t="s">
        <v>23</v>
      </c>
      <c r="K121" s="1" t="s">
        <v>24</v>
      </c>
      <c r="L121" s="3">
        <v>10</v>
      </c>
      <c r="M121" s="3">
        <v>0.01</v>
      </c>
      <c r="N121" s="54">
        <v>19</v>
      </c>
      <c r="O121" s="1" t="s">
        <v>152</v>
      </c>
      <c r="P121" s="1">
        <v>2000</v>
      </c>
      <c r="Q121" s="13" t="s">
        <v>151</v>
      </c>
    </row>
    <row r="122" spans="1:31" x14ac:dyDescent="0.15">
      <c r="A122" s="3">
        <v>129</v>
      </c>
      <c r="B122" s="42" t="s">
        <v>30</v>
      </c>
      <c r="C122" s="3">
        <v>80</v>
      </c>
      <c r="D122" s="2" t="s">
        <v>221</v>
      </c>
      <c r="E122" s="6">
        <f>0.176/0.03</f>
        <v>5.8666666666666663</v>
      </c>
      <c r="F122" s="46"/>
      <c r="G122" s="12">
        <v>4.5999999999999996</v>
      </c>
      <c r="H122" s="3">
        <v>25</v>
      </c>
      <c r="I122" s="13" t="s">
        <v>680</v>
      </c>
      <c r="J122" s="2" t="s">
        <v>23</v>
      </c>
      <c r="K122" s="1" t="s">
        <v>24</v>
      </c>
      <c r="L122" s="3">
        <f>30/0.5</f>
        <v>60</v>
      </c>
      <c r="M122" s="3">
        <v>0.03</v>
      </c>
      <c r="N122" s="54">
        <v>30</v>
      </c>
      <c r="O122" s="1" t="s">
        <v>152</v>
      </c>
      <c r="P122" s="1">
        <v>2006</v>
      </c>
      <c r="Q122" s="13" t="s">
        <v>220</v>
      </c>
    </row>
    <row r="123" spans="1:31" ht="15" customHeight="1" x14ac:dyDescent="0.15">
      <c r="A123" s="3">
        <v>26</v>
      </c>
      <c r="B123" s="42" t="s">
        <v>30</v>
      </c>
      <c r="C123" s="3">
        <v>81</v>
      </c>
      <c r="D123" s="2" t="s">
        <v>80</v>
      </c>
      <c r="E123" s="8">
        <v>60</v>
      </c>
      <c r="F123" s="48"/>
      <c r="G123" s="12">
        <v>3.8</v>
      </c>
      <c r="H123" s="3">
        <v>24.4</v>
      </c>
      <c r="I123" s="13" t="s">
        <v>646</v>
      </c>
      <c r="J123" s="2" t="s">
        <v>23</v>
      </c>
      <c r="K123" s="1" t="s">
        <v>24</v>
      </c>
      <c r="L123" s="3">
        <v>10</v>
      </c>
      <c r="M123" s="3">
        <v>0.01</v>
      </c>
      <c r="N123" s="54">
        <v>4</v>
      </c>
      <c r="O123" s="1" t="s">
        <v>77</v>
      </c>
      <c r="P123" s="1">
        <v>1972</v>
      </c>
      <c r="Q123" s="13" t="s">
        <v>78</v>
      </c>
      <c r="R123" s="34"/>
      <c r="Y123" s="2"/>
      <c r="AC123" s="3"/>
      <c r="AD123" s="2"/>
      <c r="AE123" s="2"/>
    </row>
    <row r="124" spans="1:31" x14ac:dyDescent="0.15">
      <c r="A124" s="3">
        <v>7</v>
      </c>
      <c r="B124" s="42" t="s">
        <v>30</v>
      </c>
      <c r="C124" s="3">
        <v>82</v>
      </c>
      <c r="D124" s="2" t="s">
        <v>634</v>
      </c>
      <c r="E124" s="5">
        <v>330</v>
      </c>
      <c r="F124" s="9">
        <v>17</v>
      </c>
      <c r="G124" s="12">
        <v>13</v>
      </c>
      <c r="H124" s="3">
        <v>25</v>
      </c>
      <c r="I124" s="13" t="s">
        <v>47</v>
      </c>
      <c r="J124" s="2" t="s">
        <v>23</v>
      </c>
      <c r="K124" s="1" t="s">
        <v>24</v>
      </c>
      <c r="L124" s="3" t="s">
        <v>614</v>
      </c>
      <c r="M124" s="3" t="s">
        <v>613</v>
      </c>
      <c r="N124" s="54">
        <v>2</v>
      </c>
      <c r="O124" s="1" t="s">
        <v>19</v>
      </c>
      <c r="P124" s="1">
        <v>1966</v>
      </c>
      <c r="Q124" s="13" t="s">
        <v>45</v>
      </c>
      <c r="R124" s="34"/>
      <c r="Y124" s="2"/>
      <c r="AB124" s="3"/>
      <c r="AC124" s="35"/>
      <c r="AD124" s="4"/>
      <c r="AE124" s="30"/>
    </row>
    <row r="125" spans="1:31" ht="15" customHeight="1" x14ac:dyDescent="0.15">
      <c r="A125" s="3">
        <v>152</v>
      </c>
      <c r="B125" s="42" t="s">
        <v>188</v>
      </c>
      <c r="C125" s="3">
        <v>83</v>
      </c>
      <c r="D125" s="2" t="s">
        <v>258</v>
      </c>
      <c r="E125" s="6">
        <v>2.4</v>
      </c>
      <c r="F125" s="46">
        <v>0.2</v>
      </c>
      <c r="G125" s="29">
        <v>7</v>
      </c>
      <c r="H125" s="5">
        <v>25</v>
      </c>
      <c r="I125" s="13" t="s">
        <v>112</v>
      </c>
      <c r="J125" s="2" t="s">
        <v>23</v>
      </c>
      <c r="K125" s="1" t="s">
        <v>24</v>
      </c>
      <c r="L125" s="3" t="s">
        <v>97</v>
      </c>
      <c r="M125" s="3" t="s">
        <v>248</v>
      </c>
      <c r="N125" s="54">
        <v>31</v>
      </c>
      <c r="O125" s="1" t="s">
        <v>222</v>
      </c>
      <c r="P125" s="1">
        <v>2006</v>
      </c>
      <c r="Q125" s="13" t="s">
        <v>223</v>
      </c>
      <c r="R125" s="34"/>
      <c r="Y125" s="2"/>
      <c r="AB125" s="3"/>
      <c r="AC125" s="2"/>
      <c r="AD125" s="4"/>
      <c r="AE125" s="30"/>
    </row>
    <row r="126" spans="1:31" x14ac:dyDescent="0.15">
      <c r="A126" s="3">
        <v>6</v>
      </c>
      <c r="B126" s="42" t="s">
        <v>30</v>
      </c>
      <c r="C126" s="3">
        <v>84</v>
      </c>
      <c r="D126" s="2" t="s">
        <v>541</v>
      </c>
      <c r="E126" s="5">
        <v>140</v>
      </c>
      <c r="F126" s="9">
        <v>7</v>
      </c>
      <c r="G126" s="12">
        <v>6.5</v>
      </c>
      <c r="H126" s="3">
        <v>25</v>
      </c>
      <c r="I126" s="13" t="s">
        <v>46</v>
      </c>
      <c r="J126" s="2" t="s">
        <v>23</v>
      </c>
      <c r="K126" s="1" t="s">
        <v>24</v>
      </c>
      <c r="L126" s="3" t="s">
        <v>578</v>
      </c>
      <c r="M126" s="3" t="s">
        <v>48</v>
      </c>
      <c r="N126" s="54">
        <v>2</v>
      </c>
      <c r="O126" s="1" t="s">
        <v>19</v>
      </c>
      <c r="P126" s="1">
        <v>1966</v>
      </c>
      <c r="Q126" s="13" t="s">
        <v>45</v>
      </c>
      <c r="R126" s="34"/>
      <c r="Y126" s="2"/>
      <c r="AB126" s="3"/>
      <c r="AC126" s="2"/>
      <c r="AD126" s="4"/>
      <c r="AE126" s="30"/>
    </row>
    <row r="127" spans="1:31" x14ac:dyDescent="0.15">
      <c r="A127" s="3">
        <v>157</v>
      </c>
      <c r="B127" s="42" t="s">
        <v>188</v>
      </c>
      <c r="C127" s="3">
        <v>85</v>
      </c>
      <c r="D127" s="2" t="s">
        <v>271</v>
      </c>
      <c r="E127" s="5">
        <v>21000</v>
      </c>
      <c r="F127" s="9">
        <v>3000</v>
      </c>
      <c r="G127" s="12">
        <v>7</v>
      </c>
      <c r="H127" s="3">
        <v>20</v>
      </c>
      <c r="I127" s="13" t="s">
        <v>262</v>
      </c>
      <c r="J127" s="2" t="s">
        <v>185</v>
      </c>
      <c r="K127" s="1" t="s">
        <v>133</v>
      </c>
      <c r="L127" s="3" t="s">
        <v>273</v>
      </c>
      <c r="M127" s="3" t="s">
        <v>598</v>
      </c>
      <c r="N127" s="54">
        <v>33</v>
      </c>
      <c r="O127" s="1" t="s">
        <v>260</v>
      </c>
      <c r="P127" s="1">
        <v>2007</v>
      </c>
      <c r="Q127" s="13" t="s">
        <v>269</v>
      </c>
      <c r="R127" s="34"/>
      <c r="Y127" s="2"/>
      <c r="AB127" s="3"/>
      <c r="AC127" s="2"/>
      <c r="AD127" s="4"/>
      <c r="AE127" s="30"/>
    </row>
    <row r="128" spans="1:31" x14ac:dyDescent="0.15">
      <c r="A128" s="3">
        <v>301</v>
      </c>
      <c r="B128" s="42" t="s">
        <v>30</v>
      </c>
      <c r="C128" s="3">
        <v>86</v>
      </c>
      <c r="D128" s="2" t="s">
        <v>16</v>
      </c>
      <c r="E128" s="6">
        <v>9.44</v>
      </c>
      <c r="F128" s="46"/>
      <c r="G128" s="12">
        <v>7</v>
      </c>
      <c r="H128" s="3">
        <v>25</v>
      </c>
      <c r="I128" s="13" t="s">
        <v>401</v>
      </c>
      <c r="J128" s="2" t="s">
        <v>185</v>
      </c>
      <c r="K128" s="1" t="s">
        <v>133</v>
      </c>
      <c r="L128" s="3" t="s">
        <v>489</v>
      </c>
      <c r="M128" s="3" t="s">
        <v>488</v>
      </c>
      <c r="N128" s="54">
        <v>76</v>
      </c>
      <c r="O128" s="1" t="s">
        <v>413</v>
      </c>
      <c r="P128" s="1">
        <v>2019</v>
      </c>
      <c r="Q128" s="13" t="s">
        <v>487</v>
      </c>
      <c r="Y128" s="2"/>
      <c r="AB128" s="3"/>
      <c r="AC128" s="2"/>
      <c r="AD128" s="4"/>
      <c r="AE128" s="30"/>
    </row>
    <row r="129" spans="1:32" x14ac:dyDescent="0.15">
      <c r="A129" s="3">
        <v>190</v>
      </c>
      <c r="B129" s="42" t="s">
        <v>188</v>
      </c>
      <c r="C129" s="3">
        <v>87</v>
      </c>
      <c r="D129" s="2" t="s">
        <v>322</v>
      </c>
      <c r="E129" s="6">
        <v>1.88</v>
      </c>
      <c r="F129" s="46">
        <f>0.15/0.47*E129</f>
        <v>0.6</v>
      </c>
      <c r="G129" s="12">
        <v>7</v>
      </c>
      <c r="H129" s="3" t="s">
        <v>75</v>
      </c>
      <c r="I129" s="13" t="s">
        <v>112</v>
      </c>
      <c r="J129" s="2" t="s">
        <v>23</v>
      </c>
      <c r="K129" s="1" t="s">
        <v>24</v>
      </c>
      <c r="L129" s="3">
        <v>5</v>
      </c>
      <c r="M129" s="3">
        <v>2.5000000000000001E-4</v>
      </c>
      <c r="N129" s="54">
        <v>40</v>
      </c>
      <c r="O129" s="1" t="s">
        <v>306</v>
      </c>
      <c r="P129" s="1">
        <v>2010</v>
      </c>
      <c r="Q129" s="13" t="s">
        <v>305</v>
      </c>
      <c r="V129" s="31"/>
      <c r="Y129" s="2"/>
      <c r="AB129" s="3"/>
      <c r="AC129" s="2"/>
      <c r="AD129" s="4"/>
      <c r="AE129" s="30"/>
    </row>
    <row r="130" spans="1:32" x14ac:dyDescent="0.15">
      <c r="A130" s="3">
        <v>194</v>
      </c>
      <c r="B130" s="42" t="s">
        <v>188</v>
      </c>
      <c r="C130" s="3">
        <v>88</v>
      </c>
      <c r="D130" s="2" t="s">
        <v>326</v>
      </c>
      <c r="E130" s="6">
        <v>1.1599999999999999</v>
      </c>
      <c r="F130" s="46">
        <f>0.05/0.29*E130</f>
        <v>0.2</v>
      </c>
      <c r="G130" s="12">
        <v>7</v>
      </c>
      <c r="H130" s="3" t="s">
        <v>75</v>
      </c>
      <c r="I130" s="13" t="s">
        <v>112</v>
      </c>
      <c r="J130" s="2" t="s">
        <v>23</v>
      </c>
      <c r="K130" s="1" t="s">
        <v>24</v>
      </c>
      <c r="L130" s="3">
        <v>5</v>
      </c>
      <c r="M130" s="3">
        <v>2.5000000000000001E-4</v>
      </c>
      <c r="N130" s="54">
        <v>40</v>
      </c>
      <c r="O130" s="1" t="s">
        <v>306</v>
      </c>
      <c r="P130" s="1">
        <v>2010</v>
      </c>
      <c r="Q130" s="13" t="s">
        <v>305</v>
      </c>
      <c r="Y130" s="2"/>
      <c r="AB130" s="3"/>
      <c r="AC130" s="2"/>
      <c r="AD130" s="4"/>
      <c r="AE130" s="30"/>
    </row>
    <row r="131" spans="1:32" x14ac:dyDescent="0.15">
      <c r="A131" s="3">
        <v>180</v>
      </c>
      <c r="B131" s="42" t="s">
        <v>188</v>
      </c>
      <c r="C131" s="3">
        <v>89</v>
      </c>
      <c r="D131" s="2" t="s">
        <v>313</v>
      </c>
      <c r="E131" s="8">
        <v>46.8</v>
      </c>
      <c r="F131" s="48">
        <f>1.44/11.7*E131</f>
        <v>5.76</v>
      </c>
      <c r="G131" s="12">
        <v>7</v>
      </c>
      <c r="H131" s="3" t="s">
        <v>75</v>
      </c>
      <c r="I131" s="13" t="s">
        <v>112</v>
      </c>
      <c r="J131" s="2" t="s">
        <v>23</v>
      </c>
      <c r="K131" s="1" t="s">
        <v>24</v>
      </c>
      <c r="L131" s="3">
        <v>5</v>
      </c>
      <c r="M131" s="3">
        <v>2.5000000000000001E-4</v>
      </c>
      <c r="N131" s="54">
        <v>40</v>
      </c>
      <c r="O131" s="1" t="s">
        <v>306</v>
      </c>
      <c r="P131" s="1">
        <v>2010</v>
      </c>
      <c r="Q131" s="13" t="s">
        <v>305</v>
      </c>
      <c r="Y131" s="2"/>
      <c r="AB131" s="3"/>
      <c r="AC131" s="2"/>
      <c r="AD131" s="4"/>
      <c r="AE131" s="30"/>
    </row>
    <row r="132" spans="1:32" x14ac:dyDescent="0.15">
      <c r="A132" s="3">
        <v>72</v>
      </c>
      <c r="B132" s="42" t="s">
        <v>30</v>
      </c>
      <c r="C132" s="3">
        <v>90</v>
      </c>
      <c r="D132" s="2" t="s">
        <v>130</v>
      </c>
      <c r="E132" s="6">
        <v>0.33500000000000002</v>
      </c>
      <c r="F132" s="46"/>
      <c r="G132" s="12">
        <v>7</v>
      </c>
      <c r="H132" s="3">
        <v>25</v>
      </c>
      <c r="I132" s="13" t="s">
        <v>127</v>
      </c>
      <c r="J132" s="2" t="s">
        <v>23</v>
      </c>
      <c r="K132" s="1" t="s">
        <v>24</v>
      </c>
      <c r="L132" s="3">
        <f>M132/0.000381</f>
        <v>11.73228346456693</v>
      </c>
      <c r="M132" s="3">
        <v>4.47E-3</v>
      </c>
      <c r="N132" s="54">
        <v>14</v>
      </c>
      <c r="O132" s="1" t="s">
        <v>125</v>
      </c>
      <c r="P132" s="1">
        <v>1996</v>
      </c>
      <c r="Q132" s="13" t="s">
        <v>124</v>
      </c>
      <c r="Y132" s="2"/>
      <c r="AB132" s="3"/>
      <c r="AC132" s="2"/>
      <c r="AD132" s="4"/>
      <c r="AE132" s="30"/>
    </row>
    <row r="133" spans="1:32" x14ac:dyDescent="0.15">
      <c r="A133" s="3">
        <v>86</v>
      </c>
      <c r="B133" s="42" t="s">
        <v>76</v>
      </c>
      <c r="C133" s="3">
        <v>91</v>
      </c>
      <c r="D133" s="2" t="s">
        <v>157</v>
      </c>
      <c r="E133" s="4">
        <v>6.9999999999999999E-6</v>
      </c>
      <c r="F133" s="47">
        <f>0.06*E133</f>
        <v>4.2E-7</v>
      </c>
      <c r="G133" s="12" t="s">
        <v>664</v>
      </c>
      <c r="H133" s="3">
        <v>70</v>
      </c>
      <c r="I133" s="13" t="s">
        <v>160</v>
      </c>
      <c r="J133" s="2" t="s">
        <v>75</v>
      </c>
      <c r="K133" s="1" t="s">
        <v>75</v>
      </c>
      <c r="L133" s="3" t="s">
        <v>75</v>
      </c>
      <c r="M133" s="3" t="s">
        <v>75</v>
      </c>
      <c r="N133" s="54">
        <v>20</v>
      </c>
      <c r="O133" s="1" t="s">
        <v>156</v>
      </c>
      <c r="P133" s="1">
        <v>2000</v>
      </c>
      <c r="Q133" s="13" t="s">
        <v>155</v>
      </c>
      <c r="Y133" s="2"/>
      <c r="AB133" s="3"/>
      <c r="AC133" s="2"/>
      <c r="AD133" s="4"/>
      <c r="AE133" s="30"/>
    </row>
    <row r="134" spans="1:32" x14ac:dyDescent="0.15">
      <c r="A134" s="3">
        <v>124</v>
      </c>
      <c r="B134" s="42" t="s">
        <v>76</v>
      </c>
      <c r="C134" s="3">
        <v>91.1</v>
      </c>
      <c r="D134" s="2" t="s">
        <v>157</v>
      </c>
      <c r="E134" s="3" t="s">
        <v>215</v>
      </c>
      <c r="F134" s="24"/>
      <c r="G134" s="12">
        <v>5.6</v>
      </c>
      <c r="H134" s="3">
        <v>21</v>
      </c>
      <c r="I134" s="13" t="s">
        <v>148</v>
      </c>
      <c r="J134" s="2" t="s">
        <v>164</v>
      </c>
      <c r="K134" s="1" t="s">
        <v>133</v>
      </c>
      <c r="L134" s="3" t="s">
        <v>579</v>
      </c>
      <c r="M134" s="3" t="s">
        <v>211</v>
      </c>
      <c r="N134" s="54">
        <v>28</v>
      </c>
      <c r="O134" s="1" t="s">
        <v>193</v>
      </c>
      <c r="P134" s="1">
        <v>2004</v>
      </c>
      <c r="Q134" s="13" t="s">
        <v>194</v>
      </c>
      <c r="Y134" s="2"/>
      <c r="AB134" s="3"/>
      <c r="AC134" s="2"/>
      <c r="AD134" s="4"/>
      <c r="AE134" s="30"/>
    </row>
    <row r="135" spans="1:32" x14ac:dyDescent="0.15">
      <c r="A135" s="3">
        <v>110</v>
      </c>
      <c r="B135" s="42" t="s">
        <v>30</v>
      </c>
      <c r="C135" s="3">
        <v>92</v>
      </c>
      <c r="D135" s="2" t="s">
        <v>189</v>
      </c>
      <c r="E135" s="6">
        <v>1.04</v>
      </c>
      <c r="F135" s="46">
        <v>0.02</v>
      </c>
      <c r="G135" s="12">
        <v>3</v>
      </c>
      <c r="H135" s="3">
        <v>21</v>
      </c>
      <c r="I135" s="13" t="s">
        <v>190</v>
      </c>
      <c r="J135" s="2" t="s">
        <v>23</v>
      </c>
      <c r="K135" s="1" t="s">
        <v>24</v>
      </c>
      <c r="L135" s="3" t="s">
        <v>192</v>
      </c>
      <c r="M135" s="3" t="s">
        <v>191</v>
      </c>
      <c r="N135" s="54">
        <v>27</v>
      </c>
      <c r="O135" s="1" t="s">
        <v>678</v>
      </c>
      <c r="P135" s="1">
        <v>2004</v>
      </c>
      <c r="Q135" s="13" t="s">
        <v>187</v>
      </c>
      <c r="Y135" s="2"/>
      <c r="AB135" s="3"/>
      <c r="AC135" s="2"/>
      <c r="AD135" s="4"/>
      <c r="AE135" s="30"/>
    </row>
    <row r="136" spans="1:32" x14ac:dyDescent="0.15">
      <c r="A136" s="3">
        <v>332</v>
      </c>
      <c r="B136" s="42" t="s">
        <v>188</v>
      </c>
      <c r="C136" s="3">
        <v>93</v>
      </c>
      <c r="D136" s="2" t="s">
        <v>628</v>
      </c>
      <c r="E136" s="6">
        <f>0.0202/60/(0.00001*20)</f>
        <v>1.6833333333333331</v>
      </c>
      <c r="F136" s="24"/>
      <c r="G136" s="2">
        <v>8</v>
      </c>
      <c r="H136" s="3">
        <v>25</v>
      </c>
      <c r="I136" s="13" t="s">
        <v>401</v>
      </c>
      <c r="J136" s="2" t="s">
        <v>185</v>
      </c>
      <c r="K136" s="1" t="s">
        <v>133</v>
      </c>
      <c r="L136" s="3">
        <v>20</v>
      </c>
      <c r="M136" s="3">
        <v>2.0000000000000001E-4</v>
      </c>
      <c r="N136" s="54">
        <v>89</v>
      </c>
      <c r="O136" s="1" t="s">
        <v>626</v>
      </c>
      <c r="P136" s="1">
        <v>2021</v>
      </c>
      <c r="Q136" s="13" t="s">
        <v>627</v>
      </c>
      <c r="Y136" s="2"/>
      <c r="AB136" s="3"/>
      <c r="AC136" s="2"/>
      <c r="AD136" s="4"/>
      <c r="AE136" s="30"/>
    </row>
    <row r="137" spans="1:32" x14ac:dyDescent="0.15">
      <c r="A137" s="3">
        <v>71</v>
      </c>
      <c r="B137" s="42" t="s">
        <v>30</v>
      </c>
      <c r="C137" s="3">
        <v>94</v>
      </c>
      <c r="D137" s="2" t="s">
        <v>129</v>
      </c>
      <c r="E137" s="7">
        <v>3.1800000000000002E-2</v>
      </c>
      <c r="F137" s="45"/>
      <c r="G137" s="12">
        <v>7</v>
      </c>
      <c r="H137" s="3">
        <v>25</v>
      </c>
      <c r="I137" s="13" t="s">
        <v>127</v>
      </c>
      <c r="J137" s="2" t="s">
        <v>23</v>
      </c>
      <c r="K137" s="1" t="s">
        <v>24</v>
      </c>
      <c r="L137" s="3">
        <f>M137/0.000381</f>
        <v>11.522309711286089</v>
      </c>
      <c r="M137" s="3">
        <v>4.3899999999999998E-3</v>
      </c>
      <c r="N137" s="54">
        <v>14</v>
      </c>
      <c r="O137" s="1" t="s">
        <v>125</v>
      </c>
      <c r="P137" s="1">
        <v>1996</v>
      </c>
      <c r="Q137" s="13" t="s">
        <v>124</v>
      </c>
      <c r="Y137" s="2"/>
      <c r="AB137" s="3"/>
      <c r="AC137" s="2"/>
      <c r="AD137" s="4"/>
      <c r="AE137" s="30"/>
      <c r="AF137" s="34"/>
    </row>
    <row r="138" spans="1:32" x14ac:dyDescent="0.15">
      <c r="A138" s="3">
        <v>126</v>
      </c>
      <c r="B138" s="42" t="s">
        <v>76</v>
      </c>
      <c r="C138" s="3">
        <v>95</v>
      </c>
      <c r="D138" s="2" t="s">
        <v>203</v>
      </c>
      <c r="E138" s="3" t="s">
        <v>214</v>
      </c>
      <c r="F138" s="24"/>
      <c r="G138" s="12">
        <v>5.6</v>
      </c>
      <c r="H138" s="3">
        <v>21</v>
      </c>
      <c r="I138" s="13" t="s">
        <v>148</v>
      </c>
      <c r="J138" s="2" t="s">
        <v>164</v>
      </c>
      <c r="K138" s="1" t="s">
        <v>133</v>
      </c>
      <c r="L138" s="3" t="s">
        <v>594</v>
      </c>
      <c r="M138" s="3" t="s">
        <v>213</v>
      </c>
      <c r="N138" s="54">
        <v>28</v>
      </c>
      <c r="O138" s="1" t="s">
        <v>193</v>
      </c>
      <c r="P138" s="1">
        <v>2004</v>
      </c>
      <c r="Q138" s="13" t="s">
        <v>194</v>
      </c>
      <c r="Y138" s="2"/>
      <c r="AB138" s="3"/>
      <c r="AC138" s="2"/>
      <c r="AD138" s="4"/>
      <c r="AE138" s="30"/>
      <c r="AF138" s="34"/>
    </row>
    <row r="139" spans="1:32" x14ac:dyDescent="0.15">
      <c r="A139" s="3">
        <v>175</v>
      </c>
      <c r="B139" s="42" t="s">
        <v>188</v>
      </c>
      <c r="C139" s="3">
        <v>96.3</v>
      </c>
      <c r="D139" s="2" t="s">
        <v>690</v>
      </c>
      <c r="E139" s="5">
        <v>128.91999999999999</v>
      </c>
      <c r="F139" s="9">
        <f>0.15/32.23*E139</f>
        <v>0.6</v>
      </c>
      <c r="G139" s="12">
        <v>7</v>
      </c>
      <c r="H139" s="3" t="s">
        <v>75</v>
      </c>
      <c r="I139" s="13" t="s">
        <v>112</v>
      </c>
      <c r="J139" s="2" t="s">
        <v>23</v>
      </c>
      <c r="K139" s="1" t="s">
        <v>24</v>
      </c>
      <c r="L139" s="3">
        <v>5</v>
      </c>
      <c r="M139" s="3">
        <v>2.5000000000000001E-4</v>
      </c>
      <c r="N139" s="54">
        <v>40</v>
      </c>
      <c r="O139" s="1" t="s">
        <v>306</v>
      </c>
      <c r="P139" s="1">
        <v>2010</v>
      </c>
      <c r="Q139" s="13" t="s">
        <v>305</v>
      </c>
      <c r="Y139" s="2"/>
      <c r="AB139" s="3"/>
      <c r="AC139" s="2"/>
      <c r="AD139" s="4"/>
      <c r="AE139" s="30"/>
      <c r="AF139" s="34"/>
    </row>
    <row r="140" spans="1:32" x14ac:dyDescent="0.15">
      <c r="A140" s="3">
        <v>216</v>
      </c>
      <c r="B140" s="42" t="s">
        <v>188</v>
      </c>
      <c r="D140" s="2" t="s">
        <v>690</v>
      </c>
      <c r="E140" s="8">
        <v>35.799999999999997</v>
      </c>
      <c r="F140" s="48"/>
      <c r="G140" s="12">
        <v>7</v>
      </c>
      <c r="H140" s="3">
        <v>23</v>
      </c>
      <c r="I140" s="13" t="s">
        <v>355</v>
      </c>
      <c r="J140" s="2" t="s">
        <v>185</v>
      </c>
      <c r="K140" s="1" t="s">
        <v>133</v>
      </c>
      <c r="L140" s="3">
        <v>10</v>
      </c>
      <c r="M140" s="3">
        <v>6.0000000000000002E-5</v>
      </c>
      <c r="N140" s="54">
        <v>43</v>
      </c>
      <c r="O140" s="1" t="s">
        <v>285</v>
      </c>
      <c r="P140" s="1">
        <v>2010</v>
      </c>
      <c r="Q140" s="13" t="s">
        <v>353</v>
      </c>
      <c r="Y140" s="2"/>
      <c r="AB140" s="3"/>
      <c r="AC140" s="2"/>
      <c r="AD140" s="4"/>
      <c r="AE140" s="30"/>
      <c r="AF140" s="34"/>
    </row>
    <row r="141" spans="1:32" x14ac:dyDescent="0.15">
      <c r="A141" s="3">
        <v>249</v>
      </c>
      <c r="B141" s="42" t="s">
        <v>188</v>
      </c>
      <c r="C141" s="3">
        <v>96.2</v>
      </c>
      <c r="D141" s="2" t="s">
        <v>690</v>
      </c>
      <c r="E141" s="5">
        <v>140</v>
      </c>
      <c r="F141" s="9">
        <v>20</v>
      </c>
      <c r="G141" s="12">
        <v>7.5</v>
      </c>
      <c r="H141" s="3">
        <v>25</v>
      </c>
      <c r="I141" s="13" t="s">
        <v>393</v>
      </c>
      <c r="J141" s="2" t="s">
        <v>185</v>
      </c>
      <c r="K141" s="1" t="s">
        <v>133</v>
      </c>
      <c r="L141" s="5">
        <f>181/2.1</f>
        <v>86.19047619047619</v>
      </c>
      <c r="M141" s="3">
        <v>1.8100000000000001E-4</v>
      </c>
      <c r="N141" s="54">
        <v>52</v>
      </c>
      <c r="O141" s="1" t="s">
        <v>392</v>
      </c>
      <c r="P141" s="1">
        <v>2013</v>
      </c>
      <c r="Q141" s="13" t="s">
        <v>391</v>
      </c>
    </row>
    <row r="142" spans="1:32" x14ac:dyDescent="0.15">
      <c r="A142" s="3">
        <v>251</v>
      </c>
      <c r="B142" s="42" t="s">
        <v>188</v>
      </c>
      <c r="C142" s="3">
        <v>96.1</v>
      </c>
      <c r="D142" s="2" t="s">
        <v>690</v>
      </c>
      <c r="E142" s="8">
        <v>130.4</v>
      </c>
      <c r="F142" s="48"/>
      <c r="G142" s="12">
        <v>7.5</v>
      </c>
      <c r="H142" s="3">
        <v>25</v>
      </c>
      <c r="I142" s="13" t="s">
        <v>401</v>
      </c>
      <c r="J142" s="2" t="s">
        <v>185</v>
      </c>
      <c r="K142" s="1" t="s">
        <v>133</v>
      </c>
      <c r="L142" s="8">
        <f>181/8.4</f>
        <v>21.547619047619047</v>
      </c>
      <c r="M142" s="3">
        <v>1.8100000000000001E-4</v>
      </c>
      <c r="N142" s="54">
        <v>53</v>
      </c>
      <c r="O142" s="1" t="s">
        <v>392</v>
      </c>
      <c r="P142" s="1">
        <v>2013</v>
      </c>
      <c r="Q142" s="13" t="s">
        <v>394</v>
      </c>
    </row>
    <row r="143" spans="1:32" x14ac:dyDescent="0.15">
      <c r="A143" s="3">
        <v>286</v>
      </c>
      <c r="B143" s="42" t="s">
        <v>188</v>
      </c>
      <c r="D143" s="2" t="s">
        <v>690</v>
      </c>
      <c r="E143" s="8">
        <v>34</v>
      </c>
      <c r="F143" s="48">
        <v>1.7</v>
      </c>
      <c r="G143" s="12">
        <v>7</v>
      </c>
      <c r="H143" s="3">
        <v>25</v>
      </c>
      <c r="I143" s="13" t="s">
        <v>452</v>
      </c>
      <c r="J143" s="2" t="s">
        <v>185</v>
      </c>
      <c r="K143" s="1" t="s">
        <v>133</v>
      </c>
      <c r="L143" s="3" t="s">
        <v>456</v>
      </c>
      <c r="M143" s="3" t="s">
        <v>453</v>
      </c>
      <c r="N143" s="54">
        <v>67</v>
      </c>
      <c r="O143" s="1" t="s">
        <v>449</v>
      </c>
      <c r="P143" s="1">
        <v>2018</v>
      </c>
      <c r="Q143" s="13" t="s">
        <v>448</v>
      </c>
    </row>
    <row r="144" spans="1:32" x14ac:dyDescent="0.15">
      <c r="A144" s="3">
        <v>343</v>
      </c>
      <c r="B144" s="42" t="s">
        <v>188</v>
      </c>
      <c r="C144" s="3">
        <v>96</v>
      </c>
      <c r="D144" s="2" t="s">
        <v>690</v>
      </c>
      <c r="E144" s="8">
        <f>AVERAGE(E143,E140)</f>
        <v>34.9</v>
      </c>
      <c r="F144" s="48">
        <f>STDEV(E143,E140)</f>
        <v>1.2727922061357835</v>
      </c>
      <c r="G144" s="12">
        <v>7</v>
      </c>
      <c r="H144" s="3">
        <v>25</v>
      </c>
      <c r="I144" s="13" t="s">
        <v>745</v>
      </c>
      <c r="J144" s="2"/>
      <c r="L144" s="3"/>
      <c r="M144" s="3"/>
      <c r="N144" s="54" t="s">
        <v>746</v>
      </c>
      <c r="Q144" s="13"/>
    </row>
    <row r="145" spans="1:17" x14ac:dyDescent="0.15">
      <c r="A145" s="3">
        <v>300</v>
      </c>
      <c r="B145" s="42" t="s">
        <v>188</v>
      </c>
      <c r="C145" s="3">
        <v>97</v>
      </c>
      <c r="D145" s="2" t="s">
        <v>484</v>
      </c>
      <c r="E145" s="6">
        <v>0.82</v>
      </c>
      <c r="F145" s="46"/>
      <c r="G145" s="12">
        <v>7</v>
      </c>
      <c r="H145" s="3">
        <v>25</v>
      </c>
      <c r="I145" s="13" t="s">
        <v>452</v>
      </c>
      <c r="J145" s="2" t="s">
        <v>185</v>
      </c>
      <c r="K145" s="1" t="s">
        <v>133</v>
      </c>
      <c r="L145" s="3" t="s">
        <v>486</v>
      </c>
      <c r="M145" s="3" t="s">
        <v>243</v>
      </c>
      <c r="N145" s="54">
        <v>75</v>
      </c>
      <c r="O145" s="1" t="s">
        <v>449</v>
      </c>
      <c r="P145" s="1">
        <v>2019</v>
      </c>
      <c r="Q145" s="13" t="s">
        <v>483</v>
      </c>
    </row>
    <row r="146" spans="1:17" x14ac:dyDescent="0.15">
      <c r="A146" s="3">
        <v>266</v>
      </c>
      <c r="B146" s="42" t="s">
        <v>188</v>
      </c>
      <c r="C146" s="3">
        <v>98</v>
      </c>
      <c r="D146" s="2" t="s">
        <v>433</v>
      </c>
      <c r="E146" s="7">
        <v>3.2000000000000001E-2</v>
      </c>
      <c r="F146" s="45"/>
      <c r="G146" s="12">
        <v>7</v>
      </c>
      <c r="H146" s="3">
        <v>20</v>
      </c>
      <c r="I146" s="13" t="s">
        <v>401</v>
      </c>
      <c r="J146" s="2" t="s">
        <v>185</v>
      </c>
      <c r="K146" s="1" t="s">
        <v>133</v>
      </c>
      <c r="L146" s="3">
        <f>0.01/0.000005</f>
        <v>1999.9999999999998</v>
      </c>
      <c r="M146" s="3">
        <v>0.01</v>
      </c>
      <c r="N146" s="54">
        <v>62</v>
      </c>
      <c r="O146" s="1" t="s">
        <v>431</v>
      </c>
      <c r="P146" s="1">
        <v>2017</v>
      </c>
      <c r="Q146" s="13" t="s">
        <v>432</v>
      </c>
    </row>
    <row r="147" spans="1:17" x14ac:dyDescent="0.15">
      <c r="A147" s="3">
        <v>46</v>
      </c>
      <c r="B147" s="42" t="s">
        <v>30</v>
      </c>
      <c r="C147" s="3">
        <v>99</v>
      </c>
      <c r="D147" s="2" t="s">
        <v>102</v>
      </c>
      <c r="E147" s="6">
        <v>2.7</v>
      </c>
      <c r="F147" s="46">
        <f>0.08*E147</f>
        <v>0.21600000000000003</v>
      </c>
      <c r="G147" s="12" t="s">
        <v>106</v>
      </c>
      <c r="H147" s="3">
        <v>25</v>
      </c>
      <c r="I147" s="13" t="s">
        <v>647</v>
      </c>
      <c r="J147" s="2" t="s">
        <v>23</v>
      </c>
      <c r="K147" s="1" t="s">
        <v>645</v>
      </c>
      <c r="L147" s="3" t="s">
        <v>408</v>
      </c>
      <c r="M147" s="3" t="s">
        <v>408</v>
      </c>
      <c r="N147" s="54">
        <v>10</v>
      </c>
      <c r="O147" s="1" t="s">
        <v>101</v>
      </c>
      <c r="P147" s="1">
        <v>1977</v>
      </c>
      <c r="Q147" s="13" t="s">
        <v>100</v>
      </c>
    </row>
    <row r="148" spans="1:17" x14ac:dyDescent="0.15">
      <c r="A148" s="3">
        <v>30</v>
      </c>
      <c r="B148" s="42" t="s">
        <v>30</v>
      </c>
      <c r="C148" s="3">
        <v>100</v>
      </c>
      <c r="D148" s="2" t="s">
        <v>87</v>
      </c>
      <c r="E148" s="8">
        <v>12.5</v>
      </c>
      <c r="F148" s="48">
        <v>0.8</v>
      </c>
      <c r="G148" s="12" t="s">
        <v>85</v>
      </c>
      <c r="H148" s="3">
        <v>25</v>
      </c>
      <c r="I148" s="13" t="s">
        <v>647</v>
      </c>
      <c r="J148" s="2" t="s">
        <v>23</v>
      </c>
      <c r="K148" s="1" t="s">
        <v>24</v>
      </c>
      <c r="L148" s="3">
        <v>10</v>
      </c>
      <c r="M148" s="4">
        <v>1.4999999999999999E-2</v>
      </c>
      <c r="N148" s="29">
        <v>6</v>
      </c>
      <c r="O148" s="1" t="s">
        <v>77</v>
      </c>
      <c r="P148" s="1">
        <v>1973</v>
      </c>
      <c r="Q148" s="13" t="s">
        <v>84</v>
      </c>
    </row>
    <row r="149" spans="1:17" x14ac:dyDescent="0.15">
      <c r="A149" s="3">
        <v>84</v>
      </c>
      <c r="B149" s="42" t="s">
        <v>76</v>
      </c>
      <c r="D149" s="2" t="s">
        <v>233</v>
      </c>
      <c r="E149" s="4">
        <v>2.5999999999999999E-3</v>
      </c>
      <c r="F149" s="47"/>
      <c r="G149" s="12">
        <v>4.8</v>
      </c>
      <c r="H149" s="3">
        <v>25</v>
      </c>
      <c r="I149" s="13" t="s">
        <v>668</v>
      </c>
      <c r="J149" s="2" t="s">
        <v>23</v>
      </c>
      <c r="K149" s="1" t="s">
        <v>24</v>
      </c>
      <c r="L149" s="5">
        <v>10</v>
      </c>
      <c r="M149" s="3">
        <v>0.01</v>
      </c>
      <c r="N149" s="54">
        <v>19</v>
      </c>
      <c r="O149" s="1" t="s">
        <v>152</v>
      </c>
      <c r="P149" s="1">
        <v>2000</v>
      </c>
      <c r="Q149" s="13" t="s">
        <v>151</v>
      </c>
    </row>
    <row r="150" spans="1:17" x14ac:dyDescent="0.15">
      <c r="A150" s="3">
        <v>135</v>
      </c>
      <c r="B150" s="42" t="s">
        <v>76</v>
      </c>
      <c r="D150" s="2" t="s">
        <v>233</v>
      </c>
      <c r="E150" s="4">
        <v>9.0700000000000004E-4</v>
      </c>
      <c r="F150" s="47"/>
      <c r="G150" s="29">
        <v>7</v>
      </c>
      <c r="H150" s="5">
        <v>25</v>
      </c>
      <c r="I150" s="30" t="s">
        <v>227</v>
      </c>
      <c r="J150" s="2" t="s">
        <v>23</v>
      </c>
      <c r="K150" s="1" t="s">
        <v>24</v>
      </c>
      <c r="L150" s="3" t="s">
        <v>234</v>
      </c>
      <c r="M150" s="3" t="s">
        <v>93</v>
      </c>
      <c r="N150" s="54">
        <v>31</v>
      </c>
      <c r="O150" s="1" t="s">
        <v>222</v>
      </c>
      <c r="P150" s="1">
        <v>2006</v>
      </c>
      <c r="Q150" s="13" t="s">
        <v>223</v>
      </c>
    </row>
    <row r="151" spans="1:17" x14ac:dyDescent="0.15">
      <c r="A151" s="3">
        <v>344</v>
      </c>
      <c r="B151" s="42" t="s">
        <v>76</v>
      </c>
      <c r="C151" s="3">
        <v>101</v>
      </c>
      <c r="D151" s="2" t="s">
        <v>233</v>
      </c>
      <c r="E151" s="4">
        <f>AVERAGE(E149:E150)</f>
        <v>1.7534999999999999E-3</v>
      </c>
      <c r="F151" s="47">
        <f>STDEV(E149:E150)</f>
        <v>1.1971317805488249E-3</v>
      </c>
      <c r="G151" s="29" t="s">
        <v>747</v>
      </c>
      <c r="H151" s="5">
        <v>25</v>
      </c>
      <c r="I151" s="30" t="s">
        <v>748</v>
      </c>
      <c r="J151" s="2"/>
      <c r="L151" s="3"/>
      <c r="M151" s="3"/>
      <c r="N151" s="54" t="s">
        <v>749</v>
      </c>
      <c r="Q151" s="13"/>
    </row>
    <row r="152" spans="1:17" x14ac:dyDescent="0.15">
      <c r="A152" s="3">
        <v>85</v>
      </c>
      <c r="B152" s="42" t="s">
        <v>30</v>
      </c>
      <c r="C152" s="3">
        <v>102</v>
      </c>
      <c r="D152" s="2" t="s">
        <v>154</v>
      </c>
      <c r="E152" s="4">
        <v>2.7000000000000001E-3</v>
      </c>
      <c r="F152" s="47"/>
      <c r="G152" s="12">
        <v>4.8</v>
      </c>
      <c r="H152" s="3">
        <v>25</v>
      </c>
      <c r="I152" s="13" t="s">
        <v>668</v>
      </c>
      <c r="J152" s="2" t="s">
        <v>23</v>
      </c>
      <c r="K152" s="1" t="s">
        <v>24</v>
      </c>
      <c r="L152" s="3">
        <v>10</v>
      </c>
      <c r="M152" s="3">
        <v>0.01</v>
      </c>
      <c r="N152" s="54">
        <v>19</v>
      </c>
      <c r="O152" s="1" t="s">
        <v>152</v>
      </c>
      <c r="P152" s="1">
        <v>2000</v>
      </c>
      <c r="Q152" s="13" t="s">
        <v>151</v>
      </c>
    </row>
    <row r="153" spans="1:17" x14ac:dyDescent="0.15">
      <c r="A153" s="3">
        <v>205</v>
      </c>
      <c r="B153" s="42" t="s">
        <v>188</v>
      </c>
      <c r="C153" s="3">
        <v>103</v>
      </c>
      <c r="D153" s="2" t="s">
        <v>337</v>
      </c>
      <c r="E153" s="7">
        <v>0.05</v>
      </c>
      <c r="F153" s="45">
        <f>1.88/1.21*E153</f>
        <v>7.768595041322314E-2</v>
      </c>
      <c r="G153" s="12">
        <v>7</v>
      </c>
      <c r="H153" s="3" t="s">
        <v>75</v>
      </c>
      <c r="I153" s="13" t="s">
        <v>112</v>
      </c>
      <c r="J153" s="2" t="s">
        <v>23</v>
      </c>
      <c r="K153" s="1" t="s">
        <v>24</v>
      </c>
      <c r="L153" s="3">
        <v>5</v>
      </c>
      <c r="M153" s="3">
        <v>2.5000000000000001E-4</v>
      </c>
      <c r="N153" s="54">
        <v>40</v>
      </c>
      <c r="O153" s="1" t="s">
        <v>306</v>
      </c>
      <c r="P153" s="1">
        <v>2010</v>
      </c>
      <c r="Q153" s="13" t="s">
        <v>305</v>
      </c>
    </row>
    <row r="154" spans="1:17" x14ac:dyDescent="0.15">
      <c r="A154" s="3">
        <v>206</v>
      </c>
      <c r="B154" s="42" t="s">
        <v>188</v>
      </c>
      <c r="C154" s="3">
        <v>104</v>
      </c>
      <c r="D154" s="2" t="s">
        <v>338</v>
      </c>
      <c r="E154" s="7">
        <v>0.04</v>
      </c>
      <c r="F154" s="45">
        <f>4.34/9.18*E154</f>
        <v>1.8910675381263616E-2</v>
      </c>
      <c r="G154" s="12">
        <v>7</v>
      </c>
      <c r="H154" s="3" t="s">
        <v>75</v>
      </c>
      <c r="I154" s="13" t="s">
        <v>112</v>
      </c>
      <c r="J154" s="2" t="s">
        <v>23</v>
      </c>
      <c r="K154" s="1" t="s">
        <v>24</v>
      </c>
      <c r="L154" s="3">
        <v>5</v>
      </c>
      <c r="M154" s="3">
        <v>2.5000000000000001E-4</v>
      </c>
      <c r="N154" s="54">
        <v>40</v>
      </c>
      <c r="O154" s="1" t="s">
        <v>306</v>
      </c>
      <c r="P154" s="1">
        <v>2010</v>
      </c>
      <c r="Q154" s="13" t="s">
        <v>305</v>
      </c>
    </row>
    <row r="155" spans="1:17" x14ac:dyDescent="0.15">
      <c r="A155" s="3">
        <v>160</v>
      </c>
      <c r="B155" s="42" t="s">
        <v>188</v>
      </c>
      <c r="D155" s="2" t="s">
        <v>282</v>
      </c>
      <c r="E155" s="5">
        <v>300</v>
      </c>
      <c r="F155" s="9">
        <v>30</v>
      </c>
      <c r="G155" s="12">
        <v>7</v>
      </c>
      <c r="H155" s="3">
        <v>25</v>
      </c>
      <c r="I155" s="13" t="s">
        <v>283</v>
      </c>
      <c r="J155" s="2" t="s">
        <v>185</v>
      </c>
      <c r="K155" s="1" t="s">
        <v>133</v>
      </c>
      <c r="L155" s="3" t="s">
        <v>97</v>
      </c>
      <c r="M155" s="3" t="s">
        <v>272</v>
      </c>
      <c r="N155" s="54">
        <v>36</v>
      </c>
      <c r="O155" s="1" t="s">
        <v>280</v>
      </c>
      <c r="P155" s="1">
        <v>2009</v>
      </c>
      <c r="Q155" s="13" t="s">
        <v>281</v>
      </c>
    </row>
    <row r="156" spans="1:17" x14ac:dyDescent="0.15">
      <c r="A156" s="3">
        <v>174</v>
      </c>
      <c r="B156" s="42" t="s">
        <v>188</v>
      </c>
      <c r="D156" s="2" t="s">
        <v>282</v>
      </c>
      <c r="E156" s="5">
        <v>248.6</v>
      </c>
      <c r="F156" s="9">
        <f>1.48/62.15*E156</f>
        <v>5.92</v>
      </c>
      <c r="G156" s="12">
        <v>7</v>
      </c>
      <c r="H156" s="3" t="s">
        <v>75</v>
      </c>
      <c r="I156" s="13" t="s">
        <v>112</v>
      </c>
      <c r="J156" s="2" t="s">
        <v>23</v>
      </c>
      <c r="K156" s="1" t="s">
        <v>24</v>
      </c>
      <c r="L156" s="3">
        <v>5</v>
      </c>
      <c r="M156" s="3">
        <v>2.5000000000000001E-4</v>
      </c>
      <c r="N156" s="54">
        <v>40</v>
      </c>
      <c r="O156" s="1" t="s">
        <v>306</v>
      </c>
      <c r="P156" s="1">
        <v>2010</v>
      </c>
      <c r="Q156" s="13" t="s">
        <v>305</v>
      </c>
    </row>
    <row r="157" spans="1:17" x14ac:dyDescent="0.15">
      <c r="A157" s="3">
        <v>217</v>
      </c>
      <c r="B157" s="42" t="s">
        <v>188</v>
      </c>
      <c r="D157" s="2" t="s">
        <v>282</v>
      </c>
      <c r="E157" s="5">
        <v>270</v>
      </c>
      <c r="F157" s="9"/>
      <c r="G157" s="12">
        <v>6</v>
      </c>
      <c r="H157" s="3">
        <v>23</v>
      </c>
      <c r="I157" s="13" t="s">
        <v>355</v>
      </c>
      <c r="J157" s="2" t="s">
        <v>185</v>
      </c>
      <c r="K157" s="1" t="s">
        <v>133</v>
      </c>
      <c r="L157" s="3">
        <v>10</v>
      </c>
      <c r="M157" s="3">
        <v>6.0000000000000002E-5</v>
      </c>
      <c r="N157" s="54">
        <v>43</v>
      </c>
      <c r="O157" s="1" t="s">
        <v>285</v>
      </c>
      <c r="P157" s="1">
        <v>2010</v>
      </c>
      <c r="Q157" s="13" t="s">
        <v>353</v>
      </c>
    </row>
    <row r="158" spans="1:17" x14ac:dyDescent="0.15">
      <c r="A158" s="3">
        <v>345</v>
      </c>
      <c r="B158" s="42" t="s">
        <v>188</v>
      </c>
      <c r="C158" s="3">
        <v>105</v>
      </c>
      <c r="D158" s="2" t="s">
        <v>282</v>
      </c>
      <c r="E158" s="5">
        <f>AVERAGE(E155:E157)</f>
        <v>272.86666666666667</v>
      </c>
      <c r="F158" s="9">
        <f>STDEV(E155:E157)</f>
        <v>25.819630774535359</v>
      </c>
      <c r="G158" s="12" t="s">
        <v>750</v>
      </c>
      <c r="H158" s="3" t="s">
        <v>727</v>
      </c>
      <c r="I158" s="13" t="s">
        <v>748</v>
      </c>
      <c r="J158" s="2"/>
      <c r="L158" s="3"/>
      <c r="M158" s="3"/>
      <c r="N158" s="54" t="s">
        <v>751</v>
      </c>
      <c r="Q158" s="13"/>
    </row>
    <row r="159" spans="1:17" x14ac:dyDescent="0.15">
      <c r="A159" s="3">
        <v>123</v>
      </c>
      <c r="B159" s="42" t="s">
        <v>76</v>
      </c>
      <c r="C159" s="3">
        <v>106</v>
      </c>
      <c r="D159" s="2" t="s">
        <v>201</v>
      </c>
      <c r="E159" s="4">
        <v>4.4000000000000003E-3</v>
      </c>
      <c r="F159" s="47">
        <v>0.08</v>
      </c>
      <c r="G159" s="12">
        <v>5.6</v>
      </c>
      <c r="H159" s="3">
        <v>21</v>
      </c>
      <c r="I159" s="13" t="s">
        <v>148</v>
      </c>
      <c r="J159" s="2" t="s">
        <v>164</v>
      </c>
      <c r="K159" s="1" t="s">
        <v>133</v>
      </c>
      <c r="L159" s="3" t="s">
        <v>592</v>
      </c>
      <c r="M159" s="3" t="s">
        <v>212</v>
      </c>
      <c r="N159" s="54">
        <v>28</v>
      </c>
      <c r="O159" s="1" t="s">
        <v>193</v>
      </c>
      <c r="P159" s="1">
        <v>2004</v>
      </c>
      <c r="Q159" s="13" t="s">
        <v>194</v>
      </c>
    </row>
    <row r="160" spans="1:17" x14ac:dyDescent="0.15">
      <c r="A160" s="3">
        <v>172</v>
      </c>
      <c r="B160" s="42" t="s">
        <v>188</v>
      </c>
      <c r="C160" s="3">
        <v>107</v>
      </c>
      <c r="D160" s="2" t="s">
        <v>308</v>
      </c>
      <c r="E160" s="5">
        <v>731.6</v>
      </c>
      <c r="F160" s="9">
        <f>15.5/182.9*E160</f>
        <v>62</v>
      </c>
      <c r="G160" s="12">
        <v>7</v>
      </c>
      <c r="H160" s="3" t="s">
        <v>75</v>
      </c>
      <c r="I160" s="13" t="s">
        <v>112</v>
      </c>
      <c r="J160" s="2" t="s">
        <v>23</v>
      </c>
      <c r="K160" s="1" t="s">
        <v>24</v>
      </c>
      <c r="L160" s="3">
        <v>5</v>
      </c>
      <c r="M160" s="3">
        <v>2.5000000000000001E-4</v>
      </c>
      <c r="N160" s="54">
        <v>40</v>
      </c>
      <c r="O160" s="1" t="s">
        <v>306</v>
      </c>
      <c r="P160" s="1">
        <v>2010</v>
      </c>
      <c r="Q160" s="13" t="s">
        <v>305</v>
      </c>
    </row>
    <row r="161" spans="1:17" x14ac:dyDescent="0.15">
      <c r="A161" s="3">
        <v>182</v>
      </c>
      <c r="B161" s="42" t="s">
        <v>188</v>
      </c>
      <c r="C161" s="3">
        <v>108.1</v>
      </c>
      <c r="D161" s="2" t="s">
        <v>315</v>
      </c>
      <c r="E161" s="8">
        <v>30.92</v>
      </c>
      <c r="F161" s="48">
        <f>0.12/7.73*E161</f>
        <v>0.48</v>
      </c>
      <c r="G161" s="12">
        <v>7</v>
      </c>
      <c r="H161" s="3" t="s">
        <v>75</v>
      </c>
      <c r="I161" s="13" t="s">
        <v>112</v>
      </c>
      <c r="J161" s="2" t="s">
        <v>23</v>
      </c>
      <c r="K161" s="1" t="s">
        <v>24</v>
      </c>
      <c r="L161" s="3">
        <v>5</v>
      </c>
      <c r="M161" s="3">
        <v>2.5000000000000001E-4</v>
      </c>
      <c r="N161" s="54">
        <v>40</v>
      </c>
      <c r="O161" s="1" t="s">
        <v>306</v>
      </c>
      <c r="P161" s="1">
        <v>2010</v>
      </c>
      <c r="Q161" s="13" t="s">
        <v>305</v>
      </c>
    </row>
    <row r="162" spans="1:17" x14ac:dyDescent="0.15">
      <c r="A162" s="3">
        <v>289</v>
      </c>
      <c r="B162" s="42" t="s">
        <v>188</v>
      </c>
      <c r="C162" s="3">
        <v>108</v>
      </c>
      <c r="D162" s="2" t="s">
        <v>315</v>
      </c>
      <c r="E162" s="8">
        <v>12.71</v>
      </c>
      <c r="F162" s="48">
        <v>1.62</v>
      </c>
      <c r="G162" s="12">
        <v>7</v>
      </c>
      <c r="H162" s="3" t="s">
        <v>75</v>
      </c>
      <c r="I162" s="13" t="s">
        <v>262</v>
      </c>
      <c r="J162" s="2" t="s">
        <v>185</v>
      </c>
      <c r="K162" s="1" t="s">
        <v>133</v>
      </c>
      <c r="L162" s="3">
        <v>10</v>
      </c>
      <c r="M162" s="3">
        <v>4.0000000000000002E-4</v>
      </c>
      <c r="N162" s="54">
        <v>69</v>
      </c>
      <c r="O162" s="1" t="s">
        <v>459</v>
      </c>
      <c r="P162" s="1">
        <v>2018</v>
      </c>
      <c r="Q162" s="13" t="s">
        <v>458</v>
      </c>
    </row>
    <row r="163" spans="1:17" x14ac:dyDescent="0.15">
      <c r="A163" s="3">
        <v>130</v>
      </c>
      <c r="B163" s="42" t="s">
        <v>76</v>
      </c>
      <c r="C163" s="3">
        <v>109</v>
      </c>
      <c r="D163" s="2" t="s">
        <v>224</v>
      </c>
      <c r="E163" s="4">
        <v>1.3200000000000001E-4</v>
      </c>
      <c r="F163" s="47"/>
      <c r="G163" s="12">
        <v>7</v>
      </c>
      <c r="H163" s="3">
        <v>25</v>
      </c>
      <c r="I163" s="13" t="s">
        <v>227</v>
      </c>
      <c r="J163" s="2" t="s">
        <v>23</v>
      </c>
      <c r="K163" s="1" t="s">
        <v>24</v>
      </c>
      <c r="L163" s="3" t="s">
        <v>225</v>
      </c>
      <c r="M163" s="3" t="s">
        <v>226</v>
      </c>
      <c r="N163" s="54">
        <v>31</v>
      </c>
      <c r="O163" s="1" t="s">
        <v>222</v>
      </c>
      <c r="P163" s="1">
        <v>2006</v>
      </c>
      <c r="Q163" s="13" t="s">
        <v>223</v>
      </c>
    </row>
    <row r="164" spans="1:17" x14ac:dyDescent="0.15">
      <c r="A164" s="3">
        <v>44</v>
      </c>
      <c r="B164" s="42" t="s">
        <v>30</v>
      </c>
      <c r="C164" s="3">
        <v>110</v>
      </c>
      <c r="D164" s="2" t="s">
        <v>104</v>
      </c>
      <c r="E164" s="6">
        <v>4</v>
      </c>
      <c r="F164" s="46">
        <f>0.08*E164</f>
        <v>0.32</v>
      </c>
      <c r="G164" s="12" t="s">
        <v>651</v>
      </c>
      <c r="H164" s="3">
        <v>25</v>
      </c>
      <c r="I164" s="13" t="s">
        <v>647</v>
      </c>
      <c r="J164" s="2" t="s">
        <v>23</v>
      </c>
      <c r="K164" s="1" t="s">
        <v>645</v>
      </c>
      <c r="L164" s="3" t="s">
        <v>408</v>
      </c>
      <c r="M164" s="3" t="s">
        <v>408</v>
      </c>
      <c r="N164" s="54">
        <v>10</v>
      </c>
      <c r="O164" s="1" t="s">
        <v>101</v>
      </c>
      <c r="P164" s="1">
        <v>1977</v>
      </c>
      <c r="Q164" s="13" t="s">
        <v>100</v>
      </c>
    </row>
    <row r="165" spans="1:17" x14ac:dyDescent="0.15">
      <c r="A165" s="3">
        <v>291</v>
      </c>
      <c r="B165" s="42" t="s">
        <v>188</v>
      </c>
      <c r="C165" s="3">
        <v>111</v>
      </c>
      <c r="D165" s="2" t="s">
        <v>463</v>
      </c>
      <c r="E165" s="8">
        <v>20.55</v>
      </c>
      <c r="F165" s="48">
        <v>0.48</v>
      </c>
      <c r="G165" s="12">
        <v>7</v>
      </c>
      <c r="H165" s="3">
        <v>25</v>
      </c>
      <c r="I165" s="13" t="s">
        <v>464</v>
      </c>
      <c r="J165" s="2" t="s">
        <v>185</v>
      </c>
      <c r="K165" s="1" t="s">
        <v>133</v>
      </c>
      <c r="L165" s="3">
        <v>3</v>
      </c>
      <c r="M165" s="3">
        <v>6.0000000000000002E-5</v>
      </c>
      <c r="N165" s="54">
        <v>71</v>
      </c>
      <c r="O165" s="1" t="s">
        <v>427</v>
      </c>
      <c r="P165" s="1">
        <v>2018</v>
      </c>
      <c r="Q165" s="13" t="s">
        <v>462</v>
      </c>
    </row>
    <row r="166" spans="1:17" x14ac:dyDescent="0.15">
      <c r="A166" s="3">
        <v>181</v>
      </c>
      <c r="B166" s="42" t="s">
        <v>188</v>
      </c>
      <c r="C166" s="3">
        <v>112</v>
      </c>
      <c r="D166" s="2" t="s">
        <v>314</v>
      </c>
      <c r="E166" s="8">
        <v>44.4</v>
      </c>
      <c r="F166" s="48">
        <f>4.62/11.1*E166</f>
        <v>18.48</v>
      </c>
      <c r="G166" s="12">
        <v>7</v>
      </c>
      <c r="H166" s="3" t="s">
        <v>75</v>
      </c>
      <c r="I166" s="13" t="s">
        <v>112</v>
      </c>
      <c r="J166" s="2" t="s">
        <v>23</v>
      </c>
      <c r="K166" s="1" t="s">
        <v>24</v>
      </c>
      <c r="L166" s="3">
        <v>5</v>
      </c>
      <c r="M166" s="3">
        <v>2.5000000000000001E-4</v>
      </c>
      <c r="N166" s="54">
        <v>40</v>
      </c>
      <c r="O166" s="1" t="s">
        <v>306</v>
      </c>
      <c r="P166" s="1">
        <v>2010</v>
      </c>
      <c r="Q166" s="13" t="s">
        <v>305</v>
      </c>
    </row>
    <row r="167" spans="1:17" x14ac:dyDescent="0.15">
      <c r="A167" s="3">
        <v>111</v>
      </c>
      <c r="B167" s="42" t="s">
        <v>76</v>
      </c>
      <c r="C167" s="3">
        <v>113</v>
      </c>
      <c r="D167" s="2" t="s">
        <v>195</v>
      </c>
      <c r="E167" s="7">
        <v>1.2E-2</v>
      </c>
      <c r="F167" s="45">
        <v>0.01</v>
      </c>
      <c r="G167" s="12">
        <v>5.6</v>
      </c>
      <c r="H167" s="3">
        <v>21</v>
      </c>
      <c r="I167" s="13" t="s">
        <v>148</v>
      </c>
      <c r="J167" s="2" t="s">
        <v>164</v>
      </c>
      <c r="K167" s="1" t="s">
        <v>133</v>
      </c>
      <c r="L167" s="3" t="s">
        <v>582</v>
      </c>
      <c r="M167" s="3" t="s">
        <v>205</v>
      </c>
      <c r="N167" s="54">
        <v>28</v>
      </c>
      <c r="O167" s="1" t="s">
        <v>193</v>
      </c>
      <c r="P167" s="1">
        <v>2004</v>
      </c>
      <c r="Q167" s="13" t="s">
        <v>194</v>
      </c>
    </row>
    <row r="168" spans="1:17" x14ac:dyDescent="0.15">
      <c r="A168" s="3">
        <v>14</v>
      </c>
      <c r="B168" s="42" t="s">
        <v>30</v>
      </c>
      <c r="C168" s="3">
        <v>114</v>
      </c>
      <c r="D168" s="2" t="s">
        <v>641</v>
      </c>
      <c r="E168" s="5">
        <v>490</v>
      </c>
      <c r="F168" s="9">
        <v>25</v>
      </c>
      <c r="G168" s="12">
        <v>6.5</v>
      </c>
      <c r="H168" s="3">
        <v>25</v>
      </c>
      <c r="I168" s="13" t="s">
        <v>46</v>
      </c>
      <c r="J168" s="2" t="s">
        <v>23</v>
      </c>
      <c r="K168" s="1" t="s">
        <v>24</v>
      </c>
      <c r="L168" s="3" t="s">
        <v>616</v>
      </c>
      <c r="M168" s="3" t="s">
        <v>57</v>
      </c>
      <c r="N168" s="54">
        <v>2</v>
      </c>
      <c r="O168" s="1" t="s">
        <v>19</v>
      </c>
      <c r="P168" s="1">
        <v>1966</v>
      </c>
      <c r="Q168" s="13" t="s">
        <v>45</v>
      </c>
    </row>
    <row r="169" spans="1:17" x14ac:dyDescent="0.15">
      <c r="A169" s="3">
        <v>58</v>
      </c>
      <c r="B169" s="42" t="s">
        <v>30</v>
      </c>
      <c r="C169" s="3">
        <v>114.1</v>
      </c>
      <c r="D169" s="2" t="s">
        <v>641</v>
      </c>
      <c r="E169" s="5">
        <v>736</v>
      </c>
      <c r="F169" s="9">
        <v>18</v>
      </c>
      <c r="G169" s="12">
        <v>11.3</v>
      </c>
      <c r="H169" s="3">
        <v>25</v>
      </c>
      <c r="I169" s="13" t="s">
        <v>658</v>
      </c>
      <c r="J169" s="2" t="s">
        <v>23</v>
      </c>
      <c r="K169" s="1" t="s">
        <v>24</v>
      </c>
      <c r="L169" s="3">
        <v>20</v>
      </c>
      <c r="M169" s="3">
        <v>7.6E-3</v>
      </c>
      <c r="N169" s="54">
        <v>12</v>
      </c>
      <c r="O169" s="1" t="s">
        <v>117</v>
      </c>
      <c r="P169" s="1">
        <v>1985</v>
      </c>
      <c r="Q169" s="13" t="s">
        <v>116</v>
      </c>
    </row>
    <row r="170" spans="1:17" x14ac:dyDescent="0.15">
      <c r="A170" s="3">
        <v>192</v>
      </c>
      <c r="B170" s="42" t="s">
        <v>188</v>
      </c>
      <c r="D170" s="2" t="s">
        <v>324</v>
      </c>
      <c r="E170" s="6">
        <v>1.36</v>
      </c>
      <c r="F170" s="46">
        <f>0.07/0.34*E170</f>
        <v>0.28000000000000003</v>
      </c>
      <c r="G170" s="12">
        <v>7</v>
      </c>
      <c r="H170" s="3" t="s">
        <v>75</v>
      </c>
      <c r="I170" s="13" t="s">
        <v>112</v>
      </c>
      <c r="J170" s="2" t="s">
        <v>23</v>
      </c>
      <c r="K170" s="1" t="s">
        <v>24</v>
      </c>
      <c r="L170" s="3">
        <v>5</v>
      </c>
      <c r="M170" s="3">
        <v>2.5000000000000001E-4</v>
      </c>
      <c r="N170" s="54">
        <v>40</v>
      </c>
      <c r="O170" s="1" t="s">
        <v>306</v>
      </c>
      <c r="P170" s="1">
        <v>2010</v>
      </c>
      <c r="Q170" s="13" t="s">
        <v>305</v>
      </c>
    </row>
    <row r="171" spans="1:17" x14ac:dyDescent="0.15">
      <c r="A171" s="3">
        <v>213</v>
      </c>
      <c r="B171" s="42" t="s">
        <v>188</v>
      </c>
      <c r="D171" s="2" t="s">
        <v>324</v>
      </c>
      <c r="E171" s="6">
        <v>0.61</v>
      </c>
      <c r="F171" s="46">
        <v>0.02</v>
      </c>
      <c r="G171" s="12">
        <v>7</v>
      </c>
      <c r="H171" s="3">
        <v>25</v>
      </c>
      <c r="I171" s="13" t="s">
        <v>283</v>
      </c>
      <c r="J171" s="2" t="s">
        <v>185</v>
      </c>
      <c r="K171" s="1" t="s">
        <v>133</v>
      </c>
      <c r="L171" s="3" t="s">
        <v>351</v>
      </c>
      <c r="M171" s="3" t="s">
        <v>349</v>
      </c>
      <c r="N171" s="54">
        <v>42</v>
      </c>
      <c r="O171" s="1" t="s">
        <v>280</v>
      </c>
      <c r="P171" s="1">
        <v>2010</v>
      </c>
      <c r="Q171" s="13" t="s">
        <v>347</v>
      </c>
    </row>
    <row r="172" spans="1:17" x14ac:dyDescent="0.15">
      <c r="A172" s="3">
        <v>331</v>
      </c>
      <c r="B172" s="42" t="s">
        <v>188</v>
      </c>
      <c r="D172" s="2" t="s">
        <v>324</v>
      </c>
      <c r="E172" s="3">
        <f>AVERAGE(0.93,0.99)</f>
        <v>0.96</v>
      </c>
      <c r="F172" s="46">
        <f>STDEV(0.93,0.99)</f>
        <v>4.2426406871192812E-2</v>
      </c>
      <c r="G172" s="12" t="s">
        <v>705</v>
      </c>
      <c r="H172" s="3">
        <v>25</v>
      </c>
      <c r="I172" s="13" t="s">
        <v>706</v>
      </c>
      <c r="J172" s="2" t="s">
        <v>185</v>
      </c>
      <c r="K172" s="1" t="s">
        <v>133</v>
      </c>
      <c r="L172" s="3">
        <v>10</v>
      </c>
      <c r="M172" s="3">
        <v>5.0000000000000002E-5</v>
      </c>
      <c r="N172" s="54">
        <v>88</v>
      </c>
      <c r="O172" s="1" t="s">
        <v>624</v>
      </c>
      <c r="P172" s="1">
        <v>2021</v>
      </c>
      <c r="Q172" s="13" t="s">
        <v>625</v>
      </c>
    </row>
    <row r="173" spans="1:17" x14ac:dyDescent="0.15">
      <c r="A173" s="3">
        <v>346</v>
      </c>
      <c r="B173" s="42" t="s">
        <v>188</v>
      </c>
      <c r="C173" s="3">
        <v>115</v>
      </c>
      <c r="D173" s="2" t="s">
        <v>324</v>
      </c>
      <c r="E173" s="6">
        <f>AVERAGE(E170:E172)</f>
        <v>0.97666666666666668</v>
      </c>
      <c r="F173" s="46">
        <f>STDEV(E170:E172)</f>
        <v>0.37527767497325648</v>
      </c>
      <c r="G173" s="12" t="s">
        <v>705</v>
      </c>
      <c r="H173" s="3">
        <v>25</v>
      </c>
      <c r="I173" s="13" t="s">
        <v>753</v>
      </c>
      <c r="J173" s="2"/>
      <c r="L173" s="3"/>
      <c r="M173" s="3"/>
      <c r="N173" s="54" t="s">
        <v>752</v>
      </c>
      <c r="Q173" s="13"/>
    </row>
    <row r="174" spans="1:17" x14ac:dyDescent="0.15">
      <c r="A174" s="3">
        <v>77</v>
      </c>
      <c r="B174" s="42" t="s">
        <v>76</v>
      </c>
      <c r="D174" s="2" t="s">
        <v>609</v>
      </c>
      <c r="E174" s="6">
        <f>0.00092/0.001</f>
        <v>0.92</v>
      </c>
      <c r="F174" s="46">
        <f>0.5/9.2*E174</f>
        <v>5.000000000000001E-2</v>
      </c>
      <c r="G174" s="12">
        <v>7.1</v>
      </c>
      <c r="H174" s="3">
        <v>21</v>
      </c>
      <c r="I174" s="13" t="s">
        <v>666</v>
      </c>
      <c r="J174" s="2" t="s">
        <v>142</v>
      </c>
      <c r="K174" s="1" t="s">
        <v>133</v>
      </c>
      <c r="L174" s="3" t="s">
        <v>165</v>
      </c>
      <c r="M174" s="3">
        <v>1E-3</v>
      </c>
      <c r="N174" s="54">
        <v>17</v>
      </c>
      <c r="O174" s="1" t="s">
        <v>138</v>
      </c>
      <c r="P174" s="1">
        <v>1999</v>
      </c>
      <c r="Q174" s="13" t="s">
        <v>144</v>
      </c>
    </row>
    <row r="175" spans="1:17" x14ac:dyDescent="0.15">
      <c r="A175" s="3">
        <v>98</v>
      </c>
      <c r="B175" s="42" t="s">
        <v>76</v>
      </c>
      <c r="D175" s="2" t="s">
        <v>609</v>
      </c>
      <c r="E175" s="6">
        <v>1.52</v>
      </c>
      <c r="F175" s="46">
        <v>0.05</v>
      </c>
      <c r="G175" s="12">
        <v>7</v>
      </c>
      <c r="H175" s="3">
        <v>20</v>
      </c>
      <c r="I175" s="13" t="s">
        <v>112</v>
      </c>
      <c r="J175" s="2" t="s">
        <v>164</v>
      </c>
      <c r="K175" s="1" t="s">
        <v>133</v>
      </c>
      <c r="L175" s="3" t="s">
        <v>672</v>
      </c>
      <c r="M175" s="3" t="s">
        <v>671</v>
      </c>
      <c r="N175" s="54">
        <v>22</v>
      </c>
      <c r="O175" s="1" t="s">
        <v>163</v>
      </c>
      <c r="P175" s="1">
        <v>2001</v>
      </c>
      <c r="Q175" s="13" t="s">
        <v>162</v>
      </c>
    </row>
    <row r="176" spans="1:17" x14ac:dyDescent="0.15">
      <c r="A176" s="3">
        <v>104</v>
      </c>
      <c r="B176" s="42" t="s">
        <v>76</v>
      </c>
      <c r="D176" s="2" t="s">
        <v>609</v>
      </c>
      <c r="E176" s="6">
        <f>0.00266/(0.37/158)</f>
        <v>1.1358918918918919</v>
      </c>
      <c r="F176" s="46"/>
      <c r="G176" s="12">
        <v>5.6</v>
      </c>
      <c r="H176" s="3">
        <v>23</v>
      </c>
      <c r="I176" s="13" t="s">
        <v>148</v>
      </c>
      <c r="J176" s="2" t="s">
        <v>173</v>
      </c>
      <c r="K176" s="1" t="s">
        <v>133</v>
      </c>
      <c r="L176" s="3">
        <v>4.7</v>
      </c>
      <c r="M176" s="3">
        <v>2.3E-3</v>
      </c>
      <c r="N176" s="54">
        <v>24</v>
      </c>
      <c r="O176" s="1" t="s">
        <v>172</v>
      </c>
      <c r="P176" s="1">
        <v>2002</v>
      </c>
      <c r="Q176" s="13" t="s">
        <v>171</v>
      </c>
    </row>
    <row r="177" spans="1:17" x14ac:dyDescent="0.15">
      <c r="A177" s="3">
        <v>133</v>
      </c>
      <c r="B177" s="42" t="s">
        <v>76</v>
      </c>
      <c r="D177" s="2" t="s">
        <v>609</v>
      </c>
      <c r="E177" s="6">
        <v>0.71</v>
      </c>
      <c r="F177" s="46">
        <v>0.06</v>
      </c>
      <c r="G177" s="29">
        <v>7</v>
      </c>
      <c r="H177" s="5">
        <v>25</v>
      </c>
      <c r="I177" s="30" t="s">
        <v>112</v>
      </c>
      <c r="J177" s="2" t="s">
        <v>23</v>
      </c>
      <c r="K177" s="1" t="s">
        <v>24</v>
      </c>
      <c r="L177" s="3" t="s">
        <v>228</v>
      </c>
      <c r="M177" s="3" t="s">
        <v>229</v>
      </c>
      <c r="N177" s="54">
        <v>31</v>
      </c>
      <c r="O177" s="1" t="s">
        <v>222</v>
      </c>
      <c r="P177" s="1">
        <v>2006</v>
      </c>
      <c r="Q177" s="13" t="s">
        <v>223</v>
      </c>
    </row>
    <row r="178" spans="1:17" x14ac:dyDescent="0.15">
      <c r="A178" s="3">
        <v>347</v>
      </c>
      <c r="B178" s="42" t="s">
        <v>76</v>
      </c>
      <c r="C178" s="3">
        <v>116</v>
      </c>
      <c r="D178" s="2" t="s">
        <v>609</v>
      </c>
      <c r="E178" s="6">
        <f>AVERAGE(E174:E177)</f>
        <v>1.0714729729729728</v>
      </c>
      <c r="F178" s="46">
        <f>STDEV(E174:E177)</f>
        <v>0.34589645021768073</v>
      </c>
      <c r="G178" s="29" t="s">
        <v>757</v>
      </c>
      <c r="H178" s="5" t="s">
        <v>756</v>
      </c>
      <c r="I178" s="30" t="s">
        <v>754</v>
      </c>
      <c r="J178" s="2"/>
      <c r="L178" s="3"/>
      <c r="M178" s="3"/>
      <c r="N178" s="54" t="s">
        <v>755</v>
      </c>
      <c r="Q178" s="13"/>
    </row>
    <row r="179" spans="1:17" x14ac:dyDescent="0.15">
      <c r="A179" s="3">
        <v>188</v>
      </c>
      <c r="B179" s="42" t="s">
        <v>188</v>
      </c>
      <c r="C179" s="3">
        <v>117</v>
      </c>
      <c r="D179" s="2" t="s">
        <v>320</v>
      </c>
      <c r="E179" s="6">
        <v>2.4</v>
      </c>
      <c r="F179" s="46">
        <f>0.04/0.6*E179</f>
        <v>0.16</v>
      </c>
      <c r="G179" s="12">
        <v>7</v>
      </c>
      <c r="H179" s="3" t="s">
        <v>75</v>
      </c>
      <c r="I179" s="13" t="s">
        <v>112</v>
      </c>
      <c r="J179" s="2" t="s">
        <v>23</v>
      </c>
      <c r="K179" s="1" t="s">
        <v>24</v>
      </c>
      <c r="L179" s="3">
        <v>5</v>
      </c>
      <c r="M179" s="3">
        <v>2.5000000000000001E-4</v>
      </c>
      <c r="N179" s="54">
        <v>40</v>
      </c>
      <c r="O179" s="1" t="s">
        <v>306</v>
      </c>
      <c r="P179" s="1">
        <v>2010</v>
      </c>
      <c r="Q179" s="13" t="s">
        <v>305</v>
      </c>
    </row>
    <row r="180" spans="1:17" x14ac:dyDescent="0.15">
      <c r="A180" s="3">
        <v>200</v>
      </c>
      <c r="B180" s="42" t="s">
        <v>188</v>
      </c>
      <c r="C180" s="3">
        <v>118</v>
      </c>
      <c r="D180" s="2" t="s">
        <v>332</v>
      </c>
      <c r="E180" s="6">
        <v>0.8</v>
      </c>
      <c r="F180" s="46">
        <f>0.15/0.2*E180</f>
        <v>0.6</v>
      </c>
      <c r="G180" s="12">
        <v>7</v>
      </c>
      <c r="H180" s="3" t="s">
        <v>75</v>
      </c>
      <c r="I180" s="13" t="s">
        <v>112</v>
      </c>
      <c r="J180" s="2" t="s">
        <v>23</v>
      </c>
      <c r="K180" s="1" t="s">
        <v>24</v>
      </c>
      <c r="L180" s="3">
        <v>5</v>
      </c>
      <c r="M180" s="3">
        <v>2.5000000000000001E-4</v>
      </c>
      <c r="N180" s="54">
        <v>40</v>
      </c>
      <c r="O180" s="1" t="s">
        <v>306</v>
      </c>
      <c r="P180" s="1">
        <v>2010</v>
      </c>
      <c r="Q180" s="13" t="s">
        <v>305</v>
      </c>
    </row>
    <row r="181" spans="1:17" x14ac:dyDescent="0.15">
      <c r="A181" s="3">
        <v>8</v>
      </c>
      <c r="B181" s="42" t="s">
        <v>30</v>
      </c>
      <c r="C181" s="3">
        <v>119</v>
      </c>
      <c r="D181" s="2" t="s">
        <v>635</v>
      </c>
      <c r="E181" s="5">
        <v>232</v>
      </c>
      <c r="F181" s="9">
        <v>11</v>
      </c>
      <c r="G181" s="12">
        <v>6.5</v>
      </c>
      <c r="H181" s="3">
        <v>25</v>
      </c>
      <c r="I181" s="13" t="s">
        <v>46</v>
      </c>
      <c r="J181" s="2" t="s">
        <v>23</v>
      </c>
      <c r="K181" s="1" t="s">
        <v>24</v>
      </c>
      <c r="L181" s="3" t="s">
        <v>578</v>
      </c>
      <c r="M181" s="3" t="s">
        <v>48</v>
      </c>
      <c r="N181" s="54">
        <v>2</v>
      </c>
      <c r="O181" s="1" t="s">
        <v>19</v>
      </c>
      <c r="P181" s="1">
        <v>1966</v>
      </c>
      <c r="Q181" s="13" t="s">
        <v>45</v>
      </c>
    </row>
    <row r="182" spans="1:17" x14ac:dyDescent="0.15">
      <c r="A182" s="3">
        <v>19</v>
      </c>
      <c r="B182" s="42" t="s">
        <v>30</v>
      </c>
      <c r="C182" s="3">
        <v>120</v>
      </c>
      <c r="D182" s="2" t="s">
        <v>67</v>
      </c>
      <c r="E182" s="4">
        <v>1.8799999999999999E-3</v>
      </c>
      <c r="F182" s="47"/>
      <c r="G182" s="12">
        <v>4.5999999999999996</v>
      </c>
      <c r="H182" s="3">
        <v>20</v>
      </c>
      <c r="I182" s="13" t="s">
        <v>66</v>
      </c>
      <c r="J182" s="2" t="s">
        <v>68</v>
      </c>
      <c r="K182" s="1" t="s">
        <v>24</v>
      </c>
      <c r="L182" s="3">
        <v>18</v>
      </c>
      <c r="M182" s="3">
        <v>0.16600000000000001</v>
      </c>
      <c r="N182" s="54">
        <v>3</v>
      </c>
      <c r="O182" s="1" t="s">
        <v>64</v>
      </c>
      <c r="P182" s="1">
        <v>1967</v>
      </c>
      <c r="Q182" s="13" t="s">
        <v>65</v>
      </c>
    </row>
    <row r="183" spans="1:17" x14ac:dyDescent="0.15">
      <c r="A183" s="3">
        <v>158</v>
      </c>
      <c r="B183" s="42" t="s">
        <v>188</v>
      </c>
      <c r="D183" s="2" t="s">
        <v>270</v>
      </c>
      <c r="E183" s="6">
        <v>0.3</v>
      </c>
      <c r="F183" s="46"/>
      <c r="G183" s="12">
        <v>7</v>
      </c>
      <c r="H183" s="3">
        <v>20</v>
      </c>
      <c r="I183" s="13" t="s">
        <v>262</v>
      </c>
      <c r="J183" s="2" t="s">
        <v>185</v>
      </c>
      <c r="K183" s="1" t="s">
        <v>133</v>
      </c>
      <c r="L183" s="3" t="s">
        <v>276</v>
      </c>
      <c r="M183" s="3" t="s">
        <v>275</v>
      </c>
      <c r="N183" s="54">
        <v>34</v>
      </c>
      <c r="O183" s="1" t="s">
        <v>260</v>
      </c>
      <c r="P183" s="1">
        <v>2007</v>
      </c>
      <c r="Q183" s="13" t="s">
        <v>274</v>
      </c>
    </row>
    <row r="184" spans="1:17" x14ac:dyDescent="0.15">
      <c r="A184" s="3">
        <v>294</v>
      </c>
      <c r="B184" s="42" t="s">
        <v>188</v>
      </c>
      <c r="D184" s="2" t="s">
        <v>270</v>
      </c>
      <c r="E184" s="6">
        <v>0.26</v>
      </c>
      <c r="F184" s="46">
        <v>0.05</v>
      </c>
      <c r="G184" s="12">
        <v>5.6</v>
      </c>
      <c r="H184" s="3">
        <v>23</v>
      </c>
      <c r="I184" s="13" t="s">
        <v>148</v>
      </c>
      <c r="J184" s="2" t="s">
        <v>185</v>
      </c>
      <c r="K184" s="1" t="s">
        <v>133</v>
      </c>
      <c r="L184" s="3" t="s">
        <v>474</v>
      </c>
      <c r="M184" s="3" t="s">
        <v>472</v>
      </c>
      <c r="N184" s="54">
        <v>73</v>
      </c>
      <c r="O184" s="1" t="s">
        <v>470</v>
      </c>
      <c r="P184" s="1">
        <v>2019</v>
      </c>
      <c r="Q184" s="13" t="s">
        <v>469</v>
      </c>
    </row>
    <row r="185" spans="1:17" x14ac:dyDescent="0.15">
      <c r="A185" s="3">
        <v>348</v>
      </c>
      <c r="B185" s="42" t="s">
        <v>188</v>
      </c>
      <c r="C185" s="3">
        <v>121</v>
      </c>
      <c r="D185" s="2" t="s">
        <v>270</v>
      </c>
      <c r="E185" s="6">
        <f>AVERAGE(E183:E184)</f>
        <v>0.28000000000000003</v>
      </c>
      <c r="F185" s="46">
        <f>STDEV(E183:E184)</f>
        <v>2.8284271247461888E-2</v>
      </c>
      <c r="G185" s="12" t="s">
        <v>768</v>
      </c>
      <c r="H185" s="3" t="s">
        <v>758</v>
      </c>
      <c r="I185" s="13" t="s">
        <v>754</v>
      </c>
      <c r="J185" s="2"/>
      <c r="L185" s="3"/>
      <c r="M185" s="3"/>
      <c r="N185" s="54" t="s">
        <v>759</v>
      </c>
      <c r="Q185" s="13"/>
    </row>
    <row r="186" spans="1:17" x14ac:dyDescent="0.15">
      <c r="A186" s="3">
        <v>176</v>
      </c>
      <c r="B186" s="42" t="s">
        <v>188</v>
      </c>
      <c r="C186" s="3">
        <v>122</v>
      </c>
      <c r="D186" s="2" t="s">
        <v>309</v>
      </c>
      <c r="E186" s="5">
        <v>105.2</v>
      </c>
      <c r="F186" s="9">
        <f>1.67/26.3*E186</f>
        <v>6.6799999999999988</v>
      </c>
      <c r="G186" s="12">
        <v>7</v>
      </c>
      <c r="H186" s="3" t="s">
        <v>75</v>
      </c>
      <c r="I186" s="13" t="s">
        <v>112</v>
      </c>
      <c r="J186" s="2" t="s">
        <v>23</v>
      </c>
      <c r="K186" s="1" t="s">
        <v>24</v>
      </c>
      <c r="L186" s="3">
        <v>5</v>
      </c>
      <c r="M186" s="3">
        <v>2.5000000000000001E-4</v>
      </c>
      <c r="N186" s="54">
        <v>40</v>
      </c>
      <c r="O186" s="1" t="s">
        <v>306</v>
      </c>
      <c r="P186" s="1">
        <v>2010</v>
      </c>
      <c r="Q186" s="13" t="s">
        <v>305</v>
      </c>
    </row>
    <row r="187" spans="1:17" x14ac:dyDescent="0.15">
      <c r="A187" s="3">
        <v>127</v>
      </c>
      <c r="B187" s="42" t="s">
        <v>76</v>
      </c>
      <c r="C187" s="3">
        <v>123</v>
      </c>
      <c r="D187" s="2" t="s">
        <v>204</v>
      </c>
      <c r="E187" s="3" t="s">
        <v>214</v>
      </c>
      <c r="F187" s="24"/>
      <c r="G187" s="12">
        <v>5.6</v>
      </c>
      <c r="H187" s="3">
        <v>21</v>
      </c>
      <c r="I187" s="13" t="s">
        <v>148</v>
      </c>
      <c r="J187" s="2" t="s">
        <v>164</v>
      </c>
      <c r="K187" s="1" t="s">
        <v>133</v>
      </c>
      <c r="L187" s="3" t="s">
        <v>595</v>
      </c>
      <c r="M187" s="3" t="s">
        <v>213</v>
      </c>
      <c r="N187" s="54">
        <v>28</v>
      </c>
      <c r="O187" s="1" t="s">
        <v>193</v>
      </c>
      <c r="P187" s="1">
        <v>2004</v>
      </c>
      <c r="Q187" s="13" t="s">
        <v>194</v>
      </c>
    </row>
    <row r="188" spans="1:17" x14ac:dyDescent="0.15">
      <c r="A188" s="3">
        <v>47</v>
      </c>
      <c r="B188" s="42" t="s">
        <v>30</v>
      </c>
      <c r="C188" s="3">
        <v>124</v>
      </c>
      <c r="D188" s="2" t="s">
        <v>105</v>
      </c>
      <c r="E188" s="7">
        <v>3.6999999999999998E-2</v>
      </c>
      <c r="F188" s="45">
        <f>0.08*E188</f>
        <v>2.96E-3</v>
      </c>
      <c r="G188" s="12" t="s">
        <v>657</v>
      </c>
      <c r="H188" s="3">
        <v>25</v>
      </c>
      <c r="I188" s="13" t="s">
        <v>647</v>
      </c>
      <c r="J188" s="2" t="s">
        <v>23</v>
      </c>
      <c r="K188" s="1" t="s">
        <v>645</v>
      </c>
      <c r="L188" s="3" t="s">
        <v>408</v>
      </c>
      <c r="M188" s="3" t="s">
        <v>408</v>
      </c>
      <c r="N188" s="54">
        <v>10</v>
      </c>
      <c r="O188" s="1" t="s">
        <v>101</v>
      </c>
      <c r="P188" s="1">
        <v>1977</v>
      </c>
      <c r="Q188" s="13" t="s">
        <v>100</v>
      </c>
    </row>
    <row r="189" spans="1:17" x14ac:dyDescent="0.15">
      <c r="A189" s="3">
        <v>45</v>
      </c>
      <c r="B189" s="42" t="s">
        <v>30</v>
      </c>
      <c r="C189" s="3">
        <v>125</v>
      </c>
      <c r="D189" s="2" t="s">
        <v>103</v>
      </c>
      <c r="E189" s="6">
        <v>3.7</v>
      </c>
      <c r="F189" s="46">
        <f>0.08*E189</f>
        <v>0.29600000000000004</v>
      </c>
      <c r="G189" s="12" t="s">
        <v>656</v>
      </c>
      <c r="H189" s="3">
        <v>25</v>
      </c>
      <c r="I189" s="13" t="s">
        <v>647</v>
      </c>
      <c r="J189" s="2" t="s">
        <v>23</v>
      </c>
      <c r="K189" s="1" t="s">
        <v>645</v>
      </c>
      <c r="L189" s="3" t="s">
        <v>408</v>
      </c>
      <c r="M189" s="3" t="s">
        <v>408</v>
      </c>
      <c r="N189" s="54">
        <v>10</v>
      </c>
      <c r="O189" s="1" t="s">
        <v>101</v>
      </c>
      <c r="P189" s="1">
        <v>1977</v>
      </c>
      <c r="Q189" s="13" t="s">
        <v>100</v>
      </c>
    </row>
    <row r="190" spans="1:17" x14ac:dyDescent="0.15">
      <c r="A190" s="3">
        <v>151</v>
      </c>
      <c r="B190" s="42" t="s">
        <v>188</v>
      </c>
      <c r="D190" s="2" t="s">
        <v>257</v>
      </c>
      <c r="E190" s="8">
        <v>15.7</v>
      </c>
      <c r="F190" s="48">
        <v>0.4</v>
      </c>
      <c r="G190" s="29">
        <v>7</v>
      </c>
      <c r="H190" s="5">
        <v>25</v>
      </c>
      <c r="I190" s="13" t="s">
        <v>112</v>
      </c>
      <c r="J190" s="2" t="s">
        <v>23</v>
      </c>
      <c r="K190" s="1" t="s">
        <v>24</v>
      </c>
      <c r="L190" s="3" t="s">
        <v>228</v>
      </c>
      <c r="M190" s="3" t="s">
        <v>60</v>
      </c>
      <c r="N190" s="54">
        <v>31</v>
      </c>
      <c r="O190" s="1" t="s">
        <v>222</v>
      </c>
      <c r="P190" s="1">
        <v>2006</v>
      </c>
      <c r="Q190" s="13" t="s">
        <v>223</v>
      </c>
    </row>
    <row r="191" spans="1:17" x14ac:dyDescent="0.15">
      <c r="A191" s="3">
        <v>164</v>
      </c>
      <c r="B191" s="42" t="s">
        <v>188</v>
      </c>
      <c r="D191" s="2" t="s">
        <v>257</v>
      </c>
      <c r="E191" s="8">
        <v>25.2</v>
      </c>
      <c r="F191" s="48">
        <v>0.4</v>
      </c>
      <c r="G191" s="12">
        <v>7</v>
      </c>
      <c r="H191" s="3">
        <v>25</v>
      </c>
      <c r="I191" s="13" t="s">
        <v>112</v>
      </c>
      <c r="J191" s="2" t="s">
        <v>173</v>
      </c>
      <c r="K191" s="1" t="s">
        <v>133</v>
      </c>
      <c r="L191" s="3" t="s">
        <v>294</v>
      </c>
      <c r="M191" s="3" t="s">
        <v>288</v>
      </c>
      <c r="N191" s="54">
        <v>38</v>
      </c>
      <c r="O191" s="1" t="s">
        <v>292</v>
      </c>
      <c r="P191" s="1">
        <v>2010</v>
      </c>
      <c r="Q191" s="13" t="s">
        <v>293</v>
      </c>
    </row>
    <row r="192" spans="1:17" x14ac:dyDescent="0.15">
      <c r="A192" s="3">
        <v>349</v>
      </c>
      <c r="B192" s="42" t="s">
        <v>188</v>
      </c>
      <c r="C192" s="3">
        <v>126</v>
      </c>
      <c r="D192" s="2" t="s">
        <v>257</v>
      </c>
      <c r="E192" s="8">
        <f>AVERAGE(E190:E191)</f>
        <v>20.45</v>
      </c>
      <c r="F192" s="48">
        <f>STDEV(E190:E191)</f>
        <v>6.7175144212722016</v>
      </c>
      <c r="G192" s="12">
        <v>7</v>
      </c>
      <c r="H192" s="3">
        <v>25</v>
      </c>
      <c r="I192" s="13" t="s">
        <v>760</v>
      </c>
      <c r="J192" s="2"/>
      <c r="L192" s="3"/>
      <c r="M192" s="3"/>
      <c r="N192" s="54" t="s">
        <v>761</v>
      </c>
      <c r="Q192" s="13"/>
    </row>
    <row r="193" spans="1:17" x14ac:dyDescent="0.15">
      <c r="A193" s="3">
        <v>187</v>
      </c>
      <c r="B193" s="42" t="s">
        <v>188</v>
      </c>
      <c r="D193" s="2" t="s">
        <v>319</v>
      </c>
      <c r="E193" s="6">
        <v>2.6</v>
      </c>
      <c r="F193" s="46">
        <f>0.03/0.65*E193</f>
        <v>0.12</v>
      </c>
      <c r="G193" s="12">
        <v>7</v>
      </c>
      <c r="H193" s="3" t="s">
        <v>75</v>
      </c>
      <c r="I193" s="13" t="s">
        <v>112</v>
      </c>
      <c r="J193" s="2" t="s">
        <v>23</v>
      </c>
      <c r="K193" s="1" t="s">
        <v>24</v>
      </c>
      <c r="L193" s="3">
        <v>5</v>
      </c>
      <c r="M193" s="3">
        <v>2.5000000000000001E-4</v>
      </c>
      <c r="N193" s="54">
        <v>40</v>
      </c>
      <c r="O193" s="1" t="s">
        <v>306</v>
      </c>
      <c r="P193" s="1">
        <v>2010</v>
      </c>
      <c r="Q193" s="13" t="s">
        <v>305</v>
      </c>
    </row>
    <row r="194" spans="1:17" x14ac:dyDescent="0.15">
      <c r="A194" s="3">
        <v>248</v>
      </c>
      <c r="B194" s="42" t="s">
        <v>188</v>
      </c>
      <c r="D194" s="2" t="s">
        <v>319</v>
      </c>
      <c r="E194" s="6">
        <f>10^AVERAGE(0.37,0.29,0.41)</f>
        <v>2.2733518989206303</v>
      </c>
      <c r="F194" s="46">
        <f>STDEV(0.37,0.29,0.41)/AVERAGE(0.37,0.29,0.41)*E194</f>
        <v>0.38945073488132459</v>
      </c>
      <c r="G194" s="12">
        <v>7</v>
      </c>
      <c r="H194" s="3">
        <v>20</v>
      </c>
      <c r="I194" s="13" t="s">
        <v>689</v>
      </c>
      <c r="J194" s="2" t="s">
        <v>298</v>
      </c>
      <c r="K194" s="1" t="s">
        <v>133</v>
      </c>
      <c r="L194" s="5">
        <f>M194/(0.0002/318.1)</f>
        <v>11.073101265822785</v>
      </c>
      <c r="M194" s="109">
        <f>0.0011/158</f>
        <v>6.9620253164556965E-6</v>
      </c>
      <c r="N194" s="54">
        <v>51</v>
      </c>
      <c r="O194" s="1" t="s">
        <v>388</v>
      </c>
      <c r="P194" s="1">
        <v>2013</v>
      </c>
      <c r="Q194" s="13" t="s">
        <v>389</v>
      </c>
    </row>
    <row r="195" spans="1:17" x14ac:dyDescent="0.15">
      <c r="A195" s="3">
        <v>261</v>
      </c>
      <c r="B195" s="42" t="s">
        <v>188</v>
      </c>
      <c r="D195" s="2" t="s">
        <v>319</v>
      </c>
      <c r="E195" s="6">
        <v>1.57</v>
      </c>
      <c r="F195" s="46">
        <v>0.02</v>
      </c>
      <c r="G195" s="12">
        <v>7</v>
      </c>
      <c r="H195" s="3">
        <v>20</v>
      </c>
      <c r="I195" s="13" t="s">
        <v>393</v>
      </c>
      <c r="J195" s="2" t="s">
        <v>185</v>
      </c>
      <c r="K195" s="1" t="s">
        <v>133</v>
      </c>
      <c r="L195" s="3" t="s">
        <v>489</v>
      </c>
      <c r="M195" s="3" t="s">
        <v>419</v>
      </c>
      <c r="N195" s="54">
        <v>57</v>
      </c>
      <c r="O195" s="1" t="s">
        <v>417</v>
      </c>
      <c r="P195" s="1">
        <v>2015</v>
      </c>
      <c r="Q195" s="13" t="s">
        <v>418</v>
      </c>
    </row>
    <row r="196" spans="1:17" x14ac:dyDescent="0.15">
      <c r="A196" s="3">
        <v>350</v>
      </c>
      <c r="B196" s="42" t="s">
        <v>188</v>
      </c>
      <c r="C196" s="3">
        <v>127</v>
      </c>
      <c r="D196" s="2" t="s">
        <v>319</v>
      </c>
      <c r="E196" s="6">
        <f>AVERAGE(E193:E195)</f>
        <v>2.1477839663068767</v>
      </c>
      <c r="F196" s="46">
        <f>STDEV(E193:E195)</f>
        <v>0.52635584852423734</v>
      </c>
      <c r="G196" s="12">
        <v>7</v>
      </c>
      <c r="H196" s="3">
        <v>20</v>
      </c>
      <c r="I196" s="13" t="s">
        <v>753</v>
      </c>
      <c r="J196" s="2"/>
      <c r="L196" s="3"/>
      <c r="M196" s="3"/>
      <c r="N196" s="54" t="s">
        <v>762</v>
      </c>
      <c r="Q196" s="13"/>
    </row>
    <row r="197" spans="1:17" x14ac:dyDescent="0.15">
      <c r="A197" s="3">
        <v>24</v>
      </c>
      <c r="B197" s="42" t="s">
        <v>30</v>
      </c>
      <c r="C197" s="3">
        <v>128</v>
      </c>
      <c r="D197" s="2" t="s">
        <v>73</v>
      </c>
      <c r="E197" s="4">
        <v>8.9999999999999998E-4</v>
      </c>
      <c r="F197" s="47"/>
      <c r="G197" s="12">
        <v>4.5999999999999996</v>
      </c>
      <c r="H197" s="3">
        <v>20</v>
      </c>
      <c r="I197" s="13" t="s">
        <v>66</v>
      </c>
      <c r="J197" s="2" t="s">
        <v>68</v>
      </c>
      <c r="K197" s="1" t="s">
        <v>24</v>
      </c>
      <c r="L197" s="3">
        <v>3.9</v>
      </c>
      <c r="M197" s="3">
        <v>3.5999999999999997E-2</v>
      </c>
      <c r="N197" s="54">
        <v>3</v>
      </c>
      <c r="O197" s="1" t="s">
        <v>64</v>
      </c>
      <c r="P197" s="1">
        <v>1967</v>
      </c>
      <c r="Q197" s="13" t="s">
        <v>65</v>
      </c>
    </row>
    <row r="198" spans="1:17" x14ac:dyDescent="0.15">
      <c r="A198" s="3">
        <v>202</v>
      </c>
      <c r="B198" s="42" t="s">
        <v>188</v>
      </c>
      <c r="C198" s="3">
        <v>129</v>
      </c>
      <c r="D198" s="2" t="s">
        <v>334</v>
      </c>
      <c r="E198" s="6">
        <v>0.6</v>
      </c>
      <c r="F198" s="46">
        <f>0.02/0.15*E198</f>
        <v>0.08</v>
      </c>
      <c r="G198" s="12">
        <v>7</v>
      </c>
      <c r="H198" s="3" t="s">
        <v>75</v>
      </c>
      <c r="I198" s="13" t="s">
        <v>112</v>
      </c>
      <c r="J198" s="2" t="s">
        <v>23</v>
      </c>
      <c r="K198" s="1" t="s">
        <v>24</v>
      </c>
      <c r="L198" s="3">
        <v>5</v>
      </c>
      <c r="M198" s="3">
        <v>2.5000000000000001E-4</v>
      </c>
      <c r="N198" s="54">
        <v>40</v>
      </c>
      <c r="O198" s="1" t="s">
        <v>306</v>
      </c>
      <c r="P198" s="1">
        <v>2010</v>
      </c>
      <c r="Q198" s="13" t="s">
        <v>305</v>
      </c>
    </row>
    <row r="199" spans="1:17" x14ac:dyDescent="0.15">
      <c r="A199" s="3">
        <v>35</v>
      </c>
      <c r="B199" s="42" t="s">
        <v>30</v>
      </c>
      <c r="C199" s="3">
        <v>130</v>
      </c>
      <c r="D199" s="2" t="s">
        <v>542</v>
      </c>
      <c r="E199" s="8">
        <v>54</v>
      </c>
      <c r="F199" s="48">
        <f>0.08*E199</f>
        <v>4.32</v>
      </c>
      <c r="G199" s="12" t="s">
        <v>650</v>
      </c>
      <c r="H199" s="3">
        <v>25</v>
      </c>
      <c r="I199" s="13" t="s">
        <v>81</v>
      </c>
      <c r="J199" s="2" t="s">
        <v>23</v>
      </c>
      <c r="K199" s="1" t="s">
        <v>645</v>
      </c>
      <c r="L199" s="3" t="s">
        <v>408</v>
      </c>
      <c r="M199" s="3" t="s">
        <v>408</v>
      </c>
      <c r="N199" s="29">
        <v>7</v>
      </c>
      <c r="O199" s="1" t="s">
        <v>92</v>
      </c>
      <c r="P199" s="1">
        <v>1976</v>
      </c>
      <c r="Q199" s="13" t="s">
        <v>91</v>
      </c>
    </row>
    <row r="200" spans="1:17" x14ac:dyDescent="0.15">
      <c r="A200" s="3">
        <v>21</v>
      </c>
      <c r="B200" s="42" t="s">
        <v>76</v>
      </c>
      <c r="C200" s="3">
        <v>131</v>
      </c>
      <c r="D200" s="2" t="s">
        <v>70</v>
      </c>
      <c r="E200" s="4">
        <v>3.0899999999999999E-5</v>
      </c>
      <c r="F200" s="47"/>
      <c r="G200" s="12">
        <v>4.5999999999999996</v>
      </c>
      <c r="H200" s="3">
        <v>20</v>
      </c>
      <c r="I200" s="13" t="s">
        <v>66</v>
      </c>
      <c r="J200" s="2" t="s">
        <v>68</v>
      </c>
      <c r="K200" s="1" t="s">
        <v>24</v>
      </c>
      <c r="L200" s="3">
        <v>127</v>
      </c>
      <c r="M200" s="3">
        <v>1.17</v>
      </c>
      <c r="N200" s="54">
        <v>3</v>
      </c>
      <c r="O200" s="1" t="s">
        <v>64</v>
      </c>
      <c r="P200" s="1">
        <v>1967</v>
      </c>
      <c r="Q200" s="13" t="s">
        <v>65</v>
      </c>
    </row>
    <row r="201" spans="1:17" x14ac:dyDescent="0.15">
      <c r="A201" s="3">
        <v>189</v>
      </c>
      <c r="B201" s="42" t="s">
        <v>188</v>
      </c>
      <c r="C201" s="3">
        <v>132.1</v>
      </c>
      <c r="D201" s="2" t="s">
        <v>321</v>
      </c>
      <c r="E201" s="6">
        <v>2.04</v>
      </c>
      <c r="F201" s="46">
        <f>0.03/0.51*E201</f>
        <v>0.12</v>
      </c>
      <c r="G201" s="12">
        <v>7</v>
      </c>
      <c r="H201" s="3" t="s">
        <v>75</v>
      </c>
      <c r="I201" s="13" t="s">
        <v>112</v>
      </c>
      <c r="J201" s="2" t="s">
        <v>23</v>
      </c>
      <c r="K201" s="1" t="s">
        <v>24</v>
      </c>
      <c r="L201" s="3">
        <v>5</v>
      </c>
      <c r="M201" s="3">
        <v>2.5000000000000001E-4</v>
      </c>
      <c r="N201" s="54">
        <v>40</v>
      </c>
      <c r="O201" s="1" t="s">
        <v>306</v>
      </c>
      <c r="P201" s="1">
        <v>2010</v>
      </c>
      <c r="Q201" s="13" t="s">
        <v>305</v>
      </c>
    </row>
    <row r="202" spans="1:17" x14ac:dyDescent="0.15">
      <c r="A202" s="3">
        <v>265</v>
      </c>
      <c r="B202" s="42" t="s">
        <v>188</v>
      </c>
      <c r="D202" s="2" t="s">
        <v>321</v>
      </c>
      <c r="E202" s="6">
        <v>0.63</v>
      </c>
      <c r="F202" s="46">
        <v>0.3</v>
      </c>
      <c r="G202" s="12">
        <v>7</v>
      </c>
      <c r="H202" s="3">
        <v>21</v>
      </c>
      <c r="I202" s="13" t="s">
        <v>430</v>
      </c>
      <c r="J202" s="2" t="s">
        <v>376</v>
      </c>
      <c r="K202" s="1" t="s">
        <v>133</v>
      </c>
      <c r="L202" s="3" t="s">
        <v>428</v>
      </c>
      <c r="M202" s="3" t="s">
        <v>429</v>
      </c>
      <c r="N202" s="54">
        <v>61</v>
      </c>
      <c r="O202" s="1" t="s">
        <v>427</v>
      </c>
      <c r="P202" s="1">
        <v>2016</v>
      </c>
      <c r="Q202" s="13" t="s">
        <v>426</v>
      </c>
    </row>
    <row r="203" spans="1:17" x14ac:dyDescent="0.15">
      <c r="A203" s="3">
        <v>330</v>
      </c>
      <c r="B203" s="42" t="s">
        <v>188</v>
      </c>
      <c r="D203" s="2" t="s">
        <v>321</v>
      </c>
      <c r="E203" s="6">
        <f>AVERAGE(1.23,1.06)</f>
        <v>1.145</v>
      </c>
      <c r="F203" s="46">
        <f>STDEV(1.23,1.06)</f>
        <v>0.12020815280171303</v>
      </c>
      <c r="G203" s="12" t="s">
        <v>705</v>
      </c>
      <c r="H203" s="3">
        <v>25</v>
      </c>
      <c r="I203" s="13" t="s">
        <v>706</v>
      </c>
      <c r="J203" s="2" t="s">
        <v>185</v>
      </c>
      <c r="K203" s="1" t="s">
        <v>133</v>
      </c>
      <c r="L203" s="3">
        <v>10</v>
      </c>
      <c r="M203" s="3">
        <v>5.0000000000000002E-5</v>
      </c>
      <c r="N203" s="54">
        <v>88</v>
      </c>
      <c r="O203" s="1" t="s">
        <v>624</v>
      </c>
      <c r="P203" s="1">
        <v>2021</v>
      </c>
      <c r="Q203" s="13" t="s">
        <v>625</v>
      </c>
    </row>
    <row r="204" spans="1:17" x14ac:dyDescent="0.15">
      <c r="A204" s="3">
        <v>351</v>
      </c>
      <c r="B204" s="42" t="s">
        <v>188</v>
      </c>
      <c r="C204" s="3">
        <v>132</v>
      </c>
      <c r="D204" s="2" t="s">
        <v>321</v>
      </c>
      <c r="E204" s="6">
        <f>AVERAGE(E202:E203)</f>
        <v>0.88749999999999996</v>
      </c>
      <c r="F204" s="46">
        <f>STDEV(E202:E203)</f>
        <v>0.36415999231107232</v>
      </c>
      <c r="G204" s="12" t="s">
        <v>705</v>
      </c>
      <c r="H204" s="3" t="s">
        <v>763</v>
      </c>
      <c r="I204" s="13" t="s">
        <v>753</v>
      </c>
      <c r="J204" s="2"/>
      <c r="L204" s="3"/>
      <c r="M204" s="3"/>
      <c r="N204" s="54" t="s">
        <v>764</v>
      </c>
      <c r="Q204" s="13"/>
    </row>
    <row r="205" spans="1:17" x14ac:dyDescent="0.15">
      <c r="A205" s="3">
        <v>191</v>
      </c>
      <c r="B205" s="42" t="s">
        <v>188</v>
      </c>
      <c r="C205" s="3">
        <v>133</v>
      </c>
      <c r="D205" s="2" t="s">
        <v>323</v>
      </c>
      <c r="E205" s="6">
        <v>1.48</v>
      </c>
      <c r="F205" s="46">
        <f>0.01/0.37*E205</f>
        <v>0.04</v>
      </c>
      <c r="G205" s="12">
        <v>7</v>
      </c>
      <c r="H205" s="3" t="s">
        <v>75</v>
      </c>
      <c r="I205" s="13" t="s">
        <v>112</v>
      </c>
      <c r="J205" s="2" t="s">
        <v>23</v>
      </c>
      <c r="K205" s="1" t="s">
        <v>24</v>
      </c>
      <c r="L205" s="3">
        <v>5</v>
      </c>
      <c r="M205" s="3">
        <v>2.5000000000000001E-4</v>
      </c>
      <c r="N205" s="54">
        <v>40</v>
      </c>
      <c r="O205" s="1" t="s">
        <v>306</v>
      </c>
      <c r="P205" s="1">
        <v>2010</v>
      </c>
      <c r="Q205" s="13" t="s">
        <v>305</v>
      </c>
    </row>
    <row r="206" spans="1:17" x14ac:dyDescent="0.15">
      <c r="A206" s="3">
        <v>239</v>
      </c>
      <c r="B206" s="42" t="s">
        <v>188</v>
      </c>
      <c r="C206" s="3">
        <v>134</v>
      </c>
      <c r="D206" s="2" t="s">
        <v>373</v>
      </c>
      <c r="E206" s="8">
        <v>87.4</v>
      </c>
      <c r="F206" s="48"/>
      <c r="G206" s="12">
        <v>7</v>
      </c>
      <c r="H206" s="3">
        <v>25</v>
      </c>
      <c r="I206" s="13" t="s">
        <v>355</v>
      </c>
      <c r="J206" s="2" t="s">
        <v>376</v>
      </c>
      <c r="K206" s="1" t="s">
        <v>133</v>
      </c>
      <c r="L206" s="3" t="s">
        <v>165</v>
      </c>
      <c r="M206" s="3" t="s">
        <v>375</v>
      </c>
      <c r="N206" s="54">
        <v>48</v>
      </c>
      <c r="O206" s="1" t="s">
        <v>285</v>
      </c>
      <c r="P206" s="1">
        <v>2012</v>
      </c>
      <c r="Q206" s="13" t="s">
        <v>370</v>
      </c>
    </row>
    <row r="207" spans="1:17" x14ac:dyDescent="0.15">
      <c r="A207" s="3">
        <v>219</v>
      </c>
      <c r="B207" s="42" t="s">
        <v>188</v>
      </c>
      <c r="C207" s="3">
        <v>135.1</v>
      </c>
      <c r="D207" s="2" t="s">
        <v>371</v>
      </c>
      <c r="E207" s="8">
        <v>44.45</v>
      </c>
      <c r="F207" s="48"/>
      <c r="G207" s="12">
        <v>5.8</v>
      </c>
      <c r="H207" s="3">
        <v>25</v>
      </c>
      <c r="I207" s="13" t="s">
        <v>683</v>
      </c>
      <c r="J207" s="2" t="s">
        <v>185</v>
      </c>
      <c r="K207" s="1" t="s">
        <v>133</v>
      </c>
      <c r="L207" s="3" t="s">
        <v>682</v>
      </c>
      <c r="M207" s="3" t="s">
        <v>681</v>
      </c>
      <c r="N207" s="54">
        <v>44</v>
      </c>
      <c r="O207" s="1" t="s">
        <v>356</v>
      </c>
      <c r="P207" s="1">
        <v>2010</v>
      </c>
      <c r="Q207" s="13" t="s">
        <v>357</v>
      </c>
    </row>
    <row r="208" spans="1:17" x14ac:dyDescent="0.15">
      <c r="A208" s="3">
        <v>237</v>
      </c>
      <c r="B208" s="42" t="s">
        <v>188</v>
      </c>
      <c r="C208" s="3">
        <v>135</v>
      </c>
      <c r="D208" s="2" t="s">
        <v>371</v>
      </c>
      <c r="E208" s="8">
        <v>86.2</v>
      </c>
      <c r="F208" s="48"/>
      <c r="G208" s="12">
        <v>7</v>
      </c>
      <c r="H208" s="3">
        <v>25</v>
      </c>
      <c r="I208" s="13" t="s">
        <v>355</v>
      </c>
      <c r="J208" s="2" t="s">
        <v>376</v>
      </c>
      <c r="K208" s="1" t="s">
        <v>133</v>
      </c>
      <c r="L208" s="3" t="s">
        <v>165</v>
      </c>
      <c r="M208" s="3" t="s">
        <v>375</v>
      </c>
      <c r="N208" s="54">
        <v>48</v>
      </c>
      <c r="O208" s="1" t="s">
        <v>285</v>
      </c>
      <c r="P208" s="1">
        <v>2012</v>
      </c>
      <c r="Q208" s="13" t="s">
        <v>370</v>
      </c>
    </row>
    <row r="209" spans="1:17" x14ac:dyDescent="0.15">
      <c r="A209" s="3">
        <v>20</v>
      </c>
      <c r="B209" s="42" t="s">
        <v>76</v>
      </c>
      <c r="D209" s="2" t="s">
        <v>69</v>
      </c>
      <c r="E209" s="4">
        <v>1.67E-3</v>
      </c>
      <c r="F209" s="46"/>
      <c r="G209" s="12">
        <v>4.5999999999999996</v>
      </c>
      <c r="H209" s="3">
        <v>20</v>
      </c>
      <c r="I209" s="13" t="s">
        <v>66</v>
      </c>
      <c r="J209" s="2" t="s">
        <v>68</v>
      </c>
      <c r="K209" s="1" t="s">
        <v>24</v>
      </c>
      <c r="L209" s="3">
        <v>18.600000000000001</v>
      </c>
      <c r="M209" s="3">
        <v>0.17150000000000001</v>
      </c>
      <c r="N209" s="54">
        <v>3</v>
      </c>
      <c r="O209" s="1" t="s">
        <v>64</v>
      </c>
      <c r="P209" s="1">
        <v>1967</v>
      </c>
      <c r="Q209" s="13" t="s">
        <v>65</v>
      </c>
    </row>
    <row r="210" spans="1:17" x14ac:dyDescent="0.15">
      <c r="A210" s="3">
        <v>259</v>
      </c>
      <c r="B210" s="42" t="s">
        <v>76</v>
      </c>
      <c r="D210" s="2" t="s">
        <v>69</v>
      </c>
      <c r="E210" s="4">
        <v>6.4999999999999997E-4</v>
      </c>
      <c r="F210" s="47"/>
      <c r="G210" s="12" t="s">
        <v>411</v>
      </c>
      <c r="H210" s="3">
        <v>21</v>
      </c>
      <c r="I210" s="13" t="s">
        <v>75</v>
      </c>
      <c r="J210" s="2" t="s">
        <v>406</v>
      </c>
      <c r="K210" s="1" t="s">
        <v>407</v>
      </c>
      <c r="L210" s="3" t="s">
        <v>408</v>
      </c>
      <c r="M210" s="3" t="s">
        <v>408</v>
      </c>
      <c r="N210" s="54">
        <v>55</v>
      </c>
      <c r="O210" s="1" t="s">
        <v>405</v>
      </c>
      <c r="P210" s="1">
        <v>2014</v>
      </c>
      <c r="Q210" s="13" t="s">
        <v>404</v>
      </c>
    </row>
    <row r="211" spans="1:17" x14ac:dyDescent="0.15">
      <c r="A211" s="3">
        <v>352</v>
      </c>
      <c r="B211" s="42" t="s">
        <v>76</v>
      </c>
      <c r="C211" s="3">
        <v>136</v>
      </c>
      <c r="D211" s="2" t="s">
        <v>69</v>
      </c>
      <c r="E211" s="4">
        <f>AVERAGE(E209:E210)</f>
        <v>1.16E-3</v>
      </c>
      <c r="F211" s="47">
        <f>STDEV(E209:E210)</f>
        <v>7.2124891681027859E-4</v>
      </c>
      <c r="G211" s="12" t="s">
        <v>765</v>
      </c>
      <c r="H211" s="3">
        <v>21</v>
      </c>
      <c r="I211" s="13" t="s">
        <v>766</v>
      </c>
      <c r="J211" s="2"/>
      <c r="L211" s="3"/>
      <c r="M211" s="3"/>
      <c r="N211" s="54" t="s">
        <v>767</v>
      </c>
      <c r="Q211" s="13"/>
    </row>
    <row r="212" spans="1:17" x14ac:dyDescent="0.15">
      <c r="A212" s="3">
        <v>68</v>
      </c>
      <c r="B212" s="42" t="s">
        <v>30</v>
      </c>
      <c r="D212" s="2" t="s">
        <v>126</v>
      </c>
      <c r="E212" s="7">
        <v>3.8999999999999998E-3</v>
      </c>
      <c r="F212" s="45"/>
      <c r="G212" s="12">
        <v>7</v>
      </c>
      <c r="H212" s="3">
        <v>25</v>
      </c>
      <c r="I212" s="13" t="s">
        <v>127</v>
      </c>
      <c r="J212" s="2" t="s">
        <v>23</v>
      </c>
      <c r="K212" s="1" t="s">
        <v>24</v>
      </c>
      <c r="L212" s="3">
        <v>14</v>
      </c>
      <c r="M212" s="3">
        <v>2.9299999999999999E-3</v>
      </c>
      <c r="N212" s="54">
        <v>14</v>
      </c>
      <c r="O212" s="1" t="s">
        <v>125</v>
      </c>
      <c r="P212" s="1">
        <v>1996</v>
      </c>
      <c r="Q212" s="13" t="s">
        <v>124</v>
      </c>
    </row>
    <row r="213" spans="1:17" x14ac:dyDescent="0.15">
      <c r="A213" s="3">
        <v>93</v>
      </c>
      <c r="B213" s="42" t="s">
        <v>30</v>
      </c>
      <c r="C213" s="3">
        <v>137.1</v>
      </c>
      <c r="D213" s="2" t="s">
        <v>126</v>
      </c>
      <c r="E213" s="7">
        <v>1.1299999999999999E-2</v>
      </c>
      <c r="F213" s="45">
        <f>0.0006</f>
        <v>5.9999999999999995E-4</v>
      </c>
      <c r="G213" s="12" t="s">
        <v>664</v>
      </c>
      <c r="H213" s="3">
        <v>30</v>
      </c>
      <c r="I213" s="13" t="s">
        <v>160</v>
      </c>
      <c r="J213" s="2" t="s">
        <v>661</v>
      </c>
      <c r="K213" s="1" t="s">
        <v>133</v>
      </c>
      <c r="L213" s="3" t="s">
        <v>75</v>
      </c>
      <c r="M213" s="3" t="s">
        <v>75</v>
      </c>
      <c r="N213" s="54">
        <v>90</v>
      </c>
      <c r="O213" s="1" t="s">
        <v>663</v>
      </c>
      <c r="P213" s="1">
        <v>1996</v>
      </c>
      <c r="Q213" s="13" t="s">
        <v>662</v>
      </c>
    </row>
    <row r="214" spans="1:17" x14ac:dyDescent="0.15">
      <c r="A214" s="3">
        <v>117</v>
      </c>
      <c r="B214" s="42" t="s">
        <v>30</v>
      </c>
      <c r="D214" s="2" t="s">
        <v>126</v>
      </c>
      <c r="E214" s="7">
        <v>6.0000000000000001E-3</v>
      </c>
      <c r="F214" s="47">
        <v>8.0000000000000004E-4</v>
      </c>
      <c r="G214" s="12">
        <v>5.6</v>
      </c>
      <c r="H214" s="3">
        <v>21</v>
      </c>
      <c r="I214" s="13" t="s">
        <v>148</v>
      </c>
      <c r="J214" s="2" t="s">
        <v>164</v>
      </c>
      <c r="K214" s="1" t="s">
        <v>133</v>
      </c>
      <c r="L214" s="3" t="s">
        <v>587</v>
      </c>
      <c r="M214" s="3" t="s">
        <v>211</v>
      </c>
      <c r="N214" s="54">
        <v>28</v>
      </c>
      <c r="O214" s="1" t="s">
        <v>193</v>
      </c>
      <c r="P214" s="1">
        <v>2004</v>
      </c>
      <c r="Q214" s="13" t="s">
        <v>194</v>
      </c>
    </row>
    <row r="215" spans="1:17" x14ac:dyDescent="0.15">
      <c r="A215" s="3">
        <v>353</v>
      </c>
      <c r="B215" s="42" t="s">
        <v>30</v>
      </c>
      <c r="C215" s="3">
        <v>137</v>
      </c>
      <c r="D215" s="2" t="s">
        <v>126</v>
      </c>
      <c r="E215" s="7">
        <f>AVERAGE(E214,E212)</f>
        <v>4.9499999999999995E-3</v>
      </c>
      <c r="F215" s="47">
        <f>STDEV(E214,E212)</f>
        <v>1.4849242404917501E-3</v>
      </c>
      <c r="G215" s="12" t="s">
        <v>768</v>
      </c>
      <c r="H215" s="3" t="s">
        <v>763</v>
      </c>
      <c r="I215" s="13" t="s">
        <v>754</v>
      </c>
      <c r="J215" s="2"/>
      <c r="L215" s="3"/>
      <c r="M215" s="3"/>
      <c r="N215" s="54" t="s">
        <v>769</v>
      </c>
      <c r="Q215" s="13"/>
    </row>
    <row r="216" spans="1:17" x14ac:dyDescent="0.15">
      <c r="A216" s="3">
        <v>196</v>
      </c>
      <c r="B216" s="42" t="s">
        <v>188</v>
      </c>
      <c r="C216" s="3">
        <v>138</v>
      </c>
      <c r="D216" s="2" t="s">
        <v>328</v>
      </c>
      <c r="E216" s="6">
        <v>0.84</v>
      </c>
      <c r="F216" s="46">
        <f>0.05/0.21*E216</f>
        <v>0.2</v>
      </c>
      <c r="G216" s="12">
        <v>7</v>
      </c>
      <c r="H216" s="3" t="s">
        <v>75</v>
      </c>
      <c r="I216" s="13" t="s">
        <v>112</v>
      </c>
      <c r="J216" s="2" t="s">
        <v>23</v>
      </c>
      <c r="K216" s="1" t="s">
        <v>24</v>
      </c>
      <c r="L216" s="3">
        <v>5</v>
      </c>
      <c r="M216" s="3">
        <v>2.5000000000000001E-4</v>
      </c>
      <c r="N216" s="54">
        <v>40</v>
      </c>
      <c r="O216" s="1" t="s">
        <v>306</v>
      </c>
      <c r="P216" s="1">
        <v>2010</v>
      </c>
      <c r="Q216" s="13" t="s">
        <v>305</v>
      </c>
    </row>
    <row r="217" spans="1:17" x14ac:dyDescent="0.15">
      <c r="A217" s="3">
        <v>114</v>
      </c>
      <c r="B217" s="42" t="s">
        <v>76</v>
      </c>
      <c r="C217" s="3">
        <v>139</v>
      </c>
      <c r="D217" s="2" t="s">
        <v>208</v>
      </c>
      <c r="E217" s="6">
        <v>0.9</v>
      </c>
      <c r="F217" s="46">
        <v>0.3</v>
      </c>
      <c r="G217" s="12">
        <v>5.6</v>
      </c>
      <c r="H217" s="3">
        <v>21</v>
      </c>
      <c r="I217" s="13" t="s">
        <v>148</v>
      </c>
      <c r="J217" s="2" t="s">
        <v>164</v>
      </c>
      <c r="K217" s="1" t="s">
        <v>133</v>
      </c>
      <c r="L217" s="3" t="s">
        <v>584</v>
      </c>
      <c r="M217" s="3" t="s">
        <v>209</v>
      </c>
      <c r="N217" s="54">
        <v>28</v>
      </c>
      <c r="O217" s="1" t="s">
        <v>193</v>
      </c>
      <c r="P217" s="1">
        <v>2004</v>
      </c>
      <c r="Q217" s="13" t="s">
        <v>194</v>
      </c>
    </row>
    <row r="218" spans="1:17" x14ac:dyDescent="0.15">
      <c r="A218" s="3">
        <v>122</v>
      </c>
      <c r="B218" s="42" t="s">
        <v>76</v>
      </c>
      <c r="C218" s="3">
        <v>140</v>
      </c>
      <c r="D218" s="2" t="s">
        <v>200</v>
      </c>
      <c r="E218" s="4">
        <v>4.3E-3</v>
      </c>
      <c r="F218" s="47">
        <v>0.03</v>
      </c>
      <c r="G218" s="12">
        <v>5.6</v>
      </c>
      <c r="H218" s="3">
        <v>21</v>
      </c>
      <c r="I218" s="13" t="s">
        <v>148</v>
      </c>
      <c r="J218" s="2" t="s">
        <v>164</v>
      </c>
      <c r="K218" s="1" t="s">
        <v>133</v>
      </c>
      <c r="L218" s="3" t="s">
        <v>591</v>
      </c>
      <c r="M218" s="3" t="s">
        <v>212</v>
      </c>
      <c r="N218" s="54">
        <v>28</v>
      </c>
      <c r="O218" s="1" t="s">
        <v>193</v>
      </c>
      <c r="P218" s="1">
        <v>2004</v>
      </c>
      <c r="Q218" s="13" t="s">
        <v>194</v>
      </c>
    </row>
    <row r="219" spans="1:17" x14ac:dyDescent="0.15">
      <c r="A219" s="3">
        <v>28</v>
      </c>
      <c r="B219" s="42" t="s">
        <v>30</v>
      </c>
      <c r="C219" s="3">
        <v>141</v>
      </c>
      <c r="D219" s="2" t="s">
        <v>543</v>
      </c>
      <c r="E219" s="3">
        <v>1180</v>
      </c>
      <c r="F219" s="9">
        <f>0.06*E219</f>
        <v>70.8</v>
      </c>
      <c r="G219" s="12" t="s">
        <v>83</v>
      </c>
      <c r="H219" s="3">
        <v>25</v>
      </c>
      <c r="I219" s="13" t="s">
        <v>647</v>
      </c>
      <c r="J219" s="2" t="s">
        <v>23</v>
      </c>
      <c r="K219" s="1" t="s">
        <v>645</v>
      </c>
      <c r="L219" s="3" t="s">
        <v>408</v>
      </c>
      <c r="M219" s="3" t="s">
        <v>408</v>
      </c>
      <c r="N219" s="54">
        <v>5</v>
      </c>
      <c r="O219" s="1" t="s">
        <v>77</v>
      </c>
      <c r="P219" s="1">
        <v>1973</v>
      </c>
      <c r="Q219" s="13" t="s">
        <v>79</v>
      </c>
    </row>
    <row r="220" spans="1:17" x14ac:dyDescent="0.15">
      <c r="A220" s="3">
        <v>201</v>
      </c>
      <c r="B220" s="42" t="s">
        <v>188</v>
      </c>
      <c r="C220" s="3">
        <v>142</v>
      </c>
      <c r="D220" s="2" t="s">
        <v>333</v>
      </c>
      <c r="E220" s="6">
        <v>0.8</v>
      </c>
      <c r="F220" s="46">
        <f>0.02/0.2*E220</f>
        <v>0.08</v>
      </c>
      <c r="G220" s="12">
        <v>7</v>
      </c>
      <c r="H220" s="3" t="s">
        <v>75</v>
      </c>
      <c r="I220" s="13" t="s">
        <v>112</v>
      </c>
      <c r="J220" s="2" t="s">
        <v>23</v>
      </c>
      <c r="K220" s="1" t="s">
        <v>24</v>
      </c>
      <c r="L220" s="3">
        <v>5</v>
      </c>
      <c r="M220" s="3">
        <v>2.5000000000000001E-4</v>
      </c>
      <c r="N220" s="54">
        <v>40</v>
      </c>
      <c r="O220" s="1" t="s">
        <v>306</v>
      </c>
      <c r="P220" s="1">
        <v>2010</v>
      </c>
      <c r="Q220" s="13" t="s">
        <v>305</v>
      </c>
    </row>
    <row r="221" spans="1:17" x14ac:dyDescent="0.15">
      <c r="A221" s="3">
        <v>295</v>
      </c>
      <c r="B221" s="42" t="s">
        <v>30</v>
      </c>
      <c r="C221" s="3">
        <v>143</v>
      </c>
      <c r="D221" s="2" t="s">
        <v>473</v>
      </c>
      <c r="E221" s="6">
        <v>2.7</v>
      </c>
      <c r="F221" s="46">
        <v>0.2</v>
      </c>
      <c r="G221" s="12">
        <v>5.6</v>
      </c>
      <c r="H221" s="3">
        <v>23</v>
      </c>
      <c r="I221" s="13" t="s">
        <v>148</v>
      </c>
      <c r="J221" s="2" t="s">
        <v>185</v>
      </c>
      <c r="K221" s="1" t="s">
        <v>133</v>
      </c>
      <c r="L221" s="3" t="s">
        <v>476</v>
      </c>
      <c r="M221" s="3" t="s">
        <v>475</v>
      </c>
      <c r="N221" s="54">
        <v>73</v>
      </c>
      <c r="O221" s="1" t="s">
        <v>470</v>
      </c>
      <c r="P221" s="1">
        <v>2019</v>
      </c>
      <c r="Q221" s="13" t="s">
        <v>469</v>
      </c>
    </row>
    <row r="222" spans="1:17" x14ac:dyDescent="0.15">
      <c r="A222" s="3">
        <v>109</v>
      </c>
      <c r="B222" s="42" t="s">
        <v>188</v>
      </c>
      <c r="D222" s="2" t="s">
        <v>184</v>
      </c>
      <c r="E222" s="4">
        <f>0.433/24/60/60/(20/158)</f>
        <v>3.9591435185185184E-5</v>
      </c>
      <c r="F222" s="47"/>
      <c r="G222" s="12" t="s">
        <v>186</v>
      </c>
      <c r="H222" s="3" t="s">
        <v>75</v>
      </c>
      <c r="I222" s="13" t="s">
        <v>262</v>
      </c>
      <c r="J222" s="2" t="s">
        <v>185</v>
      </c>
      <c r="K222" s="1" t="s">
        <v>133</v>
      </c>
      <c r="L222" s="3">
        <v>11000</v>
      </c>
      <c r="M222" s="3">
        <v>0.127</v>
      </c>
      <c r="N222" s="54">
        <v>26</v>
      </c>
      <c r="O222" s="1" t="s">
        <v>183</v>
      </c>
      <c r="P222" s="1">
        <v>2004</v>
      </c>
      <c r="Q222" s="13" t="s">
        <v>182</v>
      </c>
    </row>
    <row r="223" spans="1:17" x14ac:dyDescent="0.15">
      <c r="A223" s="3">
        <v>220</v>
      </c>
      <c r="B223" s="42" t="s">
        <v>188</v>
      </c>
      <c r="D223" s="2" t="s">
        <v>184</v>
      </c>
      <c r="E223" s="4">
        <v>4.1999999999999998E-5</v>
      </c>
      <c r="F223" s="47">
        <v>2.2000000000000001E-6</v>
      </c>
      <c r="G223" s="12">
        <v>7</v>
      </c>
      <c r="H223" s="3">
        <v>25</v>
      </c>
      <c r="I223" s="13" t="s">
        <v>63</v>
      </c>
      <c r="J223" s="2" t="s">
        <v>185</v>
      </c>
      <c r="K223" s="1" t="s">
        <v>133</v>
      </c>
      <c r="L223" s="3" t="s">
        <v>684</v>
      </c>
      <c r="M223" s="3" t="s">
        <v>360</v>
      </c>
      <c r="N223" s="54">
        <v>45</v>
      </c>
      <c r="O223" s="1" t="s">
        <v>359</v>
      </c>
      <c r="P223" s="1">
        <v>2011</v>
      </c>
      <c r="Q223" s="13" t="s">
        <v>358</v>
      </c>
    </row>
    <row r="224" spans="1:17" x14ac:dyDescent="0.15">
      <c r="A224" s="3">
        <v>354</v>
      </c>
      <c r="B224" s="42" t="s">
        <v>188</v>
      </c>
      <c r="C224" s="3">
        <v>144</v>
      </c>
      <c r="D224" s="2" t="s">
        <v>184</v>
      </c>
      <c r="E224" s="4">
        <f>AVERAGE(E222:E223)</f>
        <v>4.0795717592592591E-5</v>
      </c>
      <c r="F224" s="47">
        <f>STDEV(E222:E223)</f>
        <v>1.7031125134828755E-6</v>
      </c>
      <c r="G224" s="12" t="s">
        <v>721</v>
      </c>
      <c r="H224" s="3">
        <v>25</v>
      </c>
      <c r="I224" s="13" t="s">
        <v>760</v>
      </c>
      <c r="J224" s="2"/>
      <c r="L224" s="3"/>
      <c r="M224" s="3"/>
      <c r="N224" s="54" t="s">
        <v>770</v>
      </c>
      <c r="Q224" s="13"/>
    </row>
    <row r="225" spans="1:17" x14ac:dyDescent="0.15">
      <c r="A225" s="3">
        <v>83</v>
      </c>
      <c r="B225" s="42" t="s">
        <v>30</v>
      </c>
      <c r="C225" s="3">
        <v>145</v>
      </c>
      <c r="D225" s="2" t="s">
        <v>153</v>
      </c>
      <c r="E225" s="7">
        <v>3.1E-2</v>
      </c>
      <c r="F225" s="45"/>
      <c r="G225" s="12">
        <v>4.8</v>
      </c>
      <c r="H225" s="3">
        <v>25</v>
      </c>
      <c r="I225" s="13" t="s">
        <v>668</v>
      </c>
      <c r="J225" s="2" t="s">
        <v>23</v>
      </c>
      <c r="K225" s="1" t="s">
        <v>24</v>
      </c>
      <c r="L225" s="5">
        <v>10</v>
      </c>
      <c r="M225" s="3">
        <v>0.01</v>
      </c>
      <c r="N225" s="54">
        <v>19</v>
      </c>
      <c r="O225" s="1" t="s">
        <v>152</v>
      </c>
      <c r="P225" s="1">
        <v>2000</v>
      </c>
      <c r="Q225" s="13" t="s">
        <v>151</v>
      </c>
    </row>
    <row r="226" spans="1:17" x14ac:dyDescent="0.15">
      <c r="A226" s="3">
        <v>199</v>
      </c>
      <c r="B226" s="42" t="s">
        <v>188</v>
      </c>
      <c r="C226" s="3">
        <v>146</v>
      </c>
      <c r="D226" s="2" t="s">
        <v>331</v>
      </c>
      <c r="E226" s="6">
        <v>0.8</v>
      </c>
      <c r="F226" s="46">
        <f>0.03/0.2*E226</f>
        <v>0.12</v>
      </c>
      <c r="G226" s="12">
        <v>7</v>
      </c>
      <c r="H226" s="3" t="s">
        <v>75</v>
      </c>
      <c r="I226" s="13" t="s">
        <v>112</v>
      </c>
      <c r="J226" s="2" t="s">
        <v>23</v>
      </c>
      <c r="K226" s="1" t="s">
        <v>24</v>
      </c>
      <c r="L226" s="3">
        <v>5</v>
      </c>
      <c r="M226" s="3">
        <v>2.5000000000000001E-4</v>
      </c>
      <c r="N226" s="54">
        <v>40</v>
      </c>
      <c r="O226" s="1" t="s">
        <v>306</v>
      </c>
      <c r="P226" s="1">
        <v>2010</v>
      </c>
      <c r="Q226" s="13" t="s">
        <v>305</v>
      </c>
    </row>
    <row r="227" spans="1:17" x14ac:dyDescent="0.15">
      <c r="A227" s="3">
        <v>312</v>
      </c>
      <c r="B227" s="42" t="s">
        <v>188</v>
      </c>
      <c r="C227" s="3">
        <v>147</v>
      </c>
      <c r="D227" s="2" t="s">
        <v>500</v>
      </c>
      <c r="E227" s="4">
        <v>5.8300000000000001E-3</v>
      </c>
      <c r="F227" s="47"/>
      <c r="G227" s="12" t="s">
        <v>693</v>
      </c>
      <c r="H227" s="3">
        <v>25</v>
      </c>
      <c r="I227" s="13" t="s">
        <v>699</v>
      </c>
      <c r="J227" s="2" t="s">
        <v>185</v>
      </c>
      <c r="K227" s="1" t="s">
        <v>133</v>
      </c>
      <c r="L227" s="3" t="s">
        <v>228</v>
      </c>
      <c r="M227" s="3" t="s">
        <v>107</v>
      </c>
      <c r="N227" s="54">
        <v>78</v>
      </c>
      <c r="O227" s="1" t="s">
        <v>285</v>
      </c>
      <c r="P227" s="1">
        <v>2020</v>
      </c>
      <c r="Q227" s="13" t="s">
        <v>499</v>
      </c>
    </row>
    <row r="228" spans="1:17" x14ac:dyDescent="0.15">
      <c r="A228" s="3">
        <v>328</v>
      </c>
      <c r="B228" s="42" t="s">
        <v>188</v>
      </c>
      <c r="C228" s="3">
        <v>148</v>
      </c>
      <c r="D228" s="2" t="s">
        <v>622</v>
      </c>
      <c r="E228" s="8">
        <f>1030/60</f>
        <v>17.166666666666668</v>
      </c>
      <c r="F228" s="48">
        <f>130/60</f>
        <v>2.1666666666666665</v>
      </c>
      <c r="G228" s="2">
        <v>7</v>
      </c>
      <c r="H228" s="3">
        <v>25</v>
      </c>
      <c r="I228" s="13" t="s">
        <v>430</v>
      </c>
      <c r="J228" s="2" t="s">
        <v>619</v>
      </c>
      <c r="K228" s="1" t="s">
        <v>620</v>
      </c>
      <c r="L228" s="3" t="s">
        <v>408</v>
      </c>
      <c r="M228" s="3" t="s">
        <v>408</v>
      </c>
      <c r="N228" s="54">
        <v>87</v>
      </c>
      <c r="O228" s="1" t="s">
        <v>177</v>
      </c>
      <c r="P228" s="1">
        <v>2022</v>
      </c>
      <c r="Q228" s="13" t="s">
        <v>621</v>
      </c>
    </row>
    <row r="229" spans="1:17" x14ac:dyDescent="0.15">
      <c r="A229" s="3">
        <v>247</v>
      </c>
      <c r="B229" s="42" t="s">
        <v>188</v>
      </c>
      <c r="C229" s="3">
        <v>149</v>
      </c>
      <c r="D229" s="2" t="s">
        <v>390</v>
      </c>
      <c r="E229" s="6">
        <f>10^AVERAGE(0.98,0.92,0.89)</f>
        <v>8.5113803820237681</v>
      </c>
      <c r="F229" s="46">
        <f>STDEV(0.98,0.92,0.89)/AVERAGE(0.98,0.92,0.89)*E229</f>
        <v>0.41939833192673176</v>
      </c>
      <c r="G229" s="12">
        <v>7</v>
      </c>
      <c r="H229" s="3">
        <v>20</v>
      </c>
      <c r="I229" s="13" t="s">
        <v>689</v>
      </c>
      <c r="J229" s="2" t="s">
        <v>298</v>
      </c>
      <c r="K229" s="1" t="s">
        <v>133</v>
      </c>
      <c r="L229" s="5">
        <f>M229/(0.0002/357.8)</f>
        <v>12.455063291139242</v>
      </c>
      <c r="M229" s="109">
        <f>0.0011/158</f>
        <v>6.9620253164556965E-6</v>
      </c>
      <c r="N229" s="54">
        <v>51</v>
      </c>
      <c r="O229" s="1" t="s">
        <v>388</v>
      </c>
      <c r="P229" s="1">
        <v>2013</v>
      </c>
      <c r="Q229" s="13" t="s">
        <v>389</v>
      </c>
    </row>
    <row r="230" spans="1:17" x14ac:dyDescent="0.15">
      <c r="A230" s="3">
        <v>25</v>
      </c>
      <c r="B230" s="42" t="s">
        <v>30</v>
      </c>
      <c r="C230" s="3">
        <v>150</v>
      </c>
      <c r="D230" s="2" t="s">
        <v>74</v>
      </c>
      <c r="E230" s="4">
        <v>2.8999999999999998E-3</v>
      </c>
      <c r="F230" s="47"/>
      <c r="G230" s="12">
        <v>4.5999999999999996</v>
      </c>
      <c r="H230" s="3">
        <v>30</v>
      </c>
      <c r="I230" s="13" t="s">
        <v>66</v>
      </c>
      <c r="J230" s="2" t="s">
        <v>68</v>
      </c>
      <c r="K230" s="1" t="s">
        <v>24</v>
      </c>
      <c r="L230" s="5">
        <v>56</v>
      </c>
      <c r="M230" s="3">
        <v>0.51500000000000001</v>
      </c>
      <c r="N230" s="54">
        <v>3</v>
      </c>
      <c r="O230" s="1" t="s">
        <v>64</v>
      </c>
      <c r="P230" s="1">
        <v>1967</v>
      </c>
      <c r="Q230" s="13" t="s">
        <v>65</v>
      </c>
    </row>
    <row r="231" spans="1:17" x14ac:dyDescent="0.15">
      <c r="A231" s="3">
        <v>69</v>
      </c>
      <c r="B231" s="42" t="s">
        <v>30</v>
      </c>
      <c r="D231" s="2" t="s">
        <v>569</v>
      </c>
      <c r="E231" s="40">
        <v>7.7000000000000002E-3</v>
      </c>
      <c r="F231" s="45"/>
      <c r="G231" s="12">
        <v>7</v>
      </c>
      <c r="H231" s="3">
        <v>25</v>
      </c>
      <c r="I231" s="13" t="s">
        <v>127</v>
      </c>
      <c r="J231" s="2" t="s">
        <v>23</v>
      </c>
      <c r="K231" s="1" t="s">
        <v>24</v>
      </c>
      <c r="L231" s="3">
        <v>10</v>
      </c>
      <c r="M231" s="3">
        <v>1.15E-3</v>
      </c>
      <c r="N231" s="54">
        <v>14</v>
      </c>
      <c r="O231" s="1" t="s">
        <v>125</v>
      </c>
      <c r="P231" s="1">
        <v>1996</v>
      </c>
      <c r="Q231" s="13" t="s">
        <v>124</v>
      </c>
    </row>
    <row r="232" spans="1:17" x14ac:dyDescent="0.15">
      <c r="A232" s="3">
        <v>94</v>
      </c>
      <c r="B232" s="42" t="s">
        <v>30</v>
      </c>
      <c r="C232" s="3">
        <v>151.1</v>
      </c>
      <c r="D232" s="2" t="s">
        <v>569</v>
      </c>
      <c r="E232" s="40">
        <v>1.23E-2</v>
      </c>
      <c r="F232" s="47">
        <f>0.0005</f>
        <v>5.0000000000000001E-4</v>
      </c>
      <c r="G232" s="12" t="s">
        <v>664</v>
      </c>
      <c r="H232" s="3">
        <v>30</v>
      </c>
      <c r="I232" s="13" t="s">
        <v>160</v>
      </c>
      <c r="J232" s="2" t="s">
        <v>661</v>
      </c>
      <c r="K232" s="1" t="s">
        <v>133</v>
      </c>
      <c r="L232" s="3" t="s">
        <v>75</v>
      </c>
      <c r="M232" s="3" t="s">
        <v>75</v>
      </c>
      <c r="N232" s="54">
        <v>90</v>
      </c>
      <c r="O232" s="1" t="s">
        <v>663</v>
      </c>
      <c r="P232" s="1">
        <v>1996</v>
      </c>
      <c r="Q232" s="13" t="s">
        <v>662</v>
      </c>
    </row>
    <row r="233" spans="1:17" x14ac:dyDescent="0.15">
      <c r="A233" s="3">
        <v>118</v>
      </c>
      <c r="B233" s="42" t="s">
        <v>76</v>
      </c>
      <c r="D233" s="2" t="s">
        <v>569</v>
      </c>
      <c r="E233" s="40">
        <v>6.1999999999999998E-3</v>
      </c>
      <c r="F233" s="47">
        <v>2E-3</v>
      </c>
      <c r="G233" s="12">
        <v>5.6</v>
      </c>
      <c r="H233" s="3">
        <v>21</v>
      </c>
      <c r="I233" s="13" t="s">
        <v>148</v>
      </c>
      <c r="J233" s="2" t="s">
        <v>164</v>
      </c>
      <c r="K233" s="1" t="s">
        <v>133</v>
      </c>
      <c r="L233" s="3" t="s">
        <v>588</v>
      </c>
      <c r="M233" s="3" t="s">
        <v>211</v>
      </c>
      <c r="N233" s="54">
        <v>28</v>
      </c>
      <c r="O233" s="1" t="s">
        <v>193</v>
      </c>
      <c r="P233" s="1">
        <v>2004</v>
      </c>
      <c r="Q233" s="13" t="s">
        <v>194</v>
      </c>
    </row>
    <row r="234" spans="1:17" x14ac:dyDescent="0.15">
      <c r="A234" s="3">
        <v>355</v>
      </c>
      <c r="B234" s="42" t="s">
        <v>76</v>
      </c>
      <c r="C234" s="3">
        <v>151</v>
      </c>
      <c r="D234" s="2" t="s">
        <v>569</v>
      </c>
      <c r="E234" s="4">
        <f>AVERAGE(E233,E231)</f>
        <v>6.9499999999999996E-3</v>
      </c>
      <c r="F234" s="47">
        <f>STDEV(E233,E231)</f>
        <v>1.0606601717798216E-3</v>
      </c>
      <c r="G234" s="12" t="s">
        <v>768</v>
      </c>
      <c r="H234" s="3" t="s">
        <v>763</v>
      </c>
      <c r="I234" s="13" t="s">
        <v>754</v>
      </c>
      <c r="J234" s="2"/>
      <c r="L234" s="3"/>
      <c r="M234" s="3"/>
      <c r="N234" s="54" t="s">
        <v>769</v>
      </c>
      <c r="Q234" s="13"/>
    </row>
    <row r="235" spans="1:17" x14ac:dyDescent="0.15">
      <c r="A235" s="3">
        <v>5</v>
      </c>
      <c r="B235" s="42" t="s">
        <v>30</v>
      </c>
      <c r="C235" s="3">
        <v>152</v>
      </c>
      <c r="D235" s="2" t="s">
        <v>633</v>
      </c>
      <c r="E235" s="6">
        <v>2</v>
      </c>
      <c r="F235" s="46"/>
      <c r="G235" s="12">
        <v>13</v>
      </c>
      <c r="H235" s="3">
        <v>25</v>
      </c>
      <c r="I235" s="13" t="s">
        <v>22</v>
      </c>
      <c r="J235" s="2" t="s">
        <v>23</v>
      </c>
      <c r="K235" s="1" t="s">
        <v>24</v>
      </c>
      <c r="L235" s="3" t="s">
        <v>29</v>
      </c>
      <c r="M235" s="3" t="s">
        <v>631</v>
      </c>
      <c r="N235" s="54">
        <v>1</v>
      </c>
      <c r="O235" s="1" t="s">
        <v>19</v>
      </c>
      <c r="P235" s="1">
        <v>1965</v>
      </c>
      <c r="Q235" s="13" t="s">
        <v>20</v>
      </c>
    </row>
    <row r="236" spans="1:17" x14ac:dyDescent="0.15">
      <c r="A236" s="3">
        <v>177</v>
      </c>
      <c r="B236" s="42" t="s">
        <v>188</v>
      </c>
      <c r="C236" s="3">
        <v>153</v>
      </c>
      <c r="D236" s="2" t="s">
        <v>310</v>
      </c>
      <c r="E236" s="8">
        <v>69.72</v>
      </c>
      <c r="F236" s="48">
        <f>4.29/17.43*E236</f>
        <v>17.16</v>
      </c>
      <c r="G236" s="12">
        <v>7</v>
      </c>
      <c r="H236" s="3" t="s">
        <v>75</v>
      </c>
      <c r="I236" s="13" t="s">
        <v>112</v>
      </c>
      <c r="J236" s="2" t="s">
        <v>23</v>
      </c>
      <c r="K236" s="1" t="s">
        <v>24</v>
      </c>
      <c r="L236" s="3">
        <v>5</v>
      </c>
      <c r="M236" s="3">
        <v>2.5000000000000001E-4</v>
      </c>
      <c r="N236" s="54">
        <v>40</v>
      </c>
      <c r="O236" s="1" t="s">
        <v>306</v>
      </c>
      <c r="P236" s="1">
        <v>2010</v>
      </c>
      <c r="Q236" s="13" t="s">
        <v>305</v>
      </c>
    </row>
    <row r="237" spans="1:17" x14ac:dyDescent="0.15">
      <c r="A237" s="3">
        <v>269</v>
      </c>
      <c r="B237" s="42" t="s">
        <v>188</v>
      </c>
      <c r="C237" s="3">
        <v>153.1</v>
      </c>
      <c r="D237" s="2" t="s">
        <v>310</v>
      </c>
      <c r="E237" s="6">
        <v>3.9</v>
      </c>
      <c r="F237" s="46"/>
      <c r="G237" s="12">
        <v>7.5</v>
      </c>
      <c r="H237" s="3">
        <v>20</v>
      </c>
      <c r="I237" s="13" t="s">
        <v>442</v>
      </c>
      <c r="J237" s="2" t="s">
        <v>298</v>
      </c>
      <c r="K237" s="1" t="s">
        <v>133</v>
      </c>
      <c r="L237" s="3" t="s">
        <v>444</v>
      </c>
      <c r="M237" s="3" t="s">
        <v>443</v>
      </c>
      <c r="N237" s="54">
        <v>65</v>
      </c>
      <c r="O237" s="1" t="s">
        <v>427</v>
      </c>
      <c r="P237" s="1">
        <v>2017</v>
      </c>
      <c r="Q237" s="13" t="s">
        <v>441</v>
      </c>
    </row>
    <row r="238" spans="1:17" x14ac:dyDescent="0.15">
      <c r="A238" s="3">
        <v>243</v>
      </c>
      <c r="B238" s="42" t="s">
        <v>188</v>
      </c>
      <c r="C238" s="3">
        <v>154</v>
      </c>
      <c r="D238" s="2" t="s">
        <v>382</v>
      </c>
      <c r="E238" s="5">
        <v>179</v>
      </c>
      <c r="F238" s="9">
        <v>10</v>
      </c>
      <c r="G238" s="12">
        <v>6</v>
      </c>
      <c r="H238" s="3">
        <v>22</v>
      </c>
      <c r="I238" s="13" t="s">
        <v>112</v>
      </c>
      <c r="J238" s="2" t="s">
        <v>386</v>
      </c>
      <c r="K238" s="1" t="s">
        <v>133</v>
      </c>
      <c r="L238" s="3" t="s">
        <v>688</v>
      </c>
      <c r="M238" s="108" t="s">
        <v>387</v>
      </c>
      <c r="N238" s="54">
        <v>50</v>
      </c>
      <c r="O238" s="1" t="s">
        <v>381</v>
      </c>
      <c r="P238" s="1">
        <v>2013</v>
      </c>
      <c r="Q238" s="13" t="s">
        <v>380</v>
      </c>
    </row>
    <row r="239" spans="1:17" x14ac:dyDescent="0.15">
      <c r="A239" s="3">
        <v>215</v>
      </c>
      <c r="B239" s="42" t="s">
        <v>188</v>
      </c>
      <c r="C239" s="3">
        <v>155</v>
      </c>
      <c r="D239" s="2" t="s">
        <v>348</v>
      </c>
      <c r="E239" s="6">
        <v>3.6</v>
      </c>
      <c r="F239" s="46">
        <v>0.1</v>
      </c>
      <c r="G239" s="12">
        <v>7</v>
      </c>
      <c r="H239" s="3">
        <v>25</v>
      </c>
      <c r="I239" s="13" t="s">
        <v>283</v>
      </c>
      <c r="J239" s="2" t="s">
        <v>185</v>
      </c>
      <c r="K239" s="1" t="s">
        <v>133</v>
      </c>
      <c r="L239" s="3" t="s">
        <v>352</v>
      </c>
      <c r="M239" s="3" t="s">
        <v>350</v>
      </c>
      <c r="N239" s="54">
        <v>42</v>
      </c>
      <c r="O239" s="1" t="s">
        <v>280</v>
      </c>
      <c r="P239" s="1">
        <v>2010</v>
      </c>
      <c r="Q239" s="13" t="s">
        <v>347</v>
      </c>
    </row>
    <row r="240" spans="1:17" x14ac:dyDescent="0.15">
      <c r="A240" s="3">
        <v>195</v>
      </c>
      <c r="B240" s="42" t="s">
        <v>188</v>
      </c>
      <c r="C240" s="3">
        <v>156</v>
      </c>
      <c r="D240" s="2" t="s">
        <v>327</v>
      </c>
      <c r="E240" s="6">
        <v>0.88</v>
      </c>
      <c r="F240" s="46">
        <f>0.02/0.22*E240</f>
        <v>0.08</v>
      </c>
      <c r="G240" s="12">
        <v>7</v>
      </c>
      <c r="H240" s="3" t="s">
        <v>75</v>
      </c>
      <c r="I240" s="13" t="s">
        <v>112</v>
      </c>
      <c r="J240" s="2" t="s">
        <v>23</v>
      </c>
      <c r="K240" s="1" t="s">
        <v>24</v>
      </c>
      <c r="L240" s="3">
        <v>5</v>
      </c>
      <c r="M240" s="3">
        <v>2.5000000000000001E-4</v>
      </c>
      <c r="N240" s="54">
        <v>40</v>
      </c>
      <c r="O240" s="1" t="s">
        <v>306</v>
      </c>
      <c r="P240" s="1">
        <v>2010</v>
      </c>
      <c r="Q240" s="13" t="s">
        <v>305</v>
      </c>
    </row>
    <row r="241" spans="1:17" x14ac:dyDescent="0.15">
      <c r="A241" s="3">
        <v>27</v>
      </c>
      <c r="B241" s="42" t="s">
        <v>30</v>
      </c>
      <c r="C241" s="3">
        <v>157</v>
      </c>
      <c r="D241" s="2" t="s">
        <v>544</v>
      </c>
      <c r="E241" s="3">
        <v>1000</v>
      </c>
      <c r="F241" s="24">
        <f>0.06*E241</f>
        <v>60</v>
      </c>
      <c r="G241" s="12" t="s">
        <v>82</v>
      </c>
      <c r="H241" s="3">
        <v>25</v>
      </c>
      <c r="I241" s="13" t="s">
        <v>647</v>
      </c>
      <c r="J241" s="2" t="s">
        <v>23</v>
      </c>
      <c r="K241" s="1" t="s">
        <v>645</v>
      </c>
      <c r="L241" s="3" t="s">
        <v>408</v>
      </c>
      <c r="M241" s="3" t="s">
        <v>408</v>
      </c>
      <c r="N241" s="54">
        <v>5</v>
      </c>
      <c r="O241" s="1" t="s">
        <v>77</v>
      </c>
      <c r="P241" s="1">
        <v>1973</v>
      </c>
      <c r="Q241" s="13" t="s">
        <v>79</v>
      </c>
    </row>
    <row r="242" spans="1:17" x14ac:dyDescent="0.15">
      <c r="A242" s="3">
        <v>244</v>
      </c>
      <c r="B242" s="42" t="s">
        <v>188</v>
      </c>
      <c r="C242" s="3">
        <v>158</v>
      </c>
      <c r="D242" s="2" t="s">
        <v>383</v>
      </c>
      <c r="E242" s="8">
        <v>73</v>
      </c>
      <c r="F242" s="48">
        <v>2</v>
      </c>
      <c r="G242" s="12">
        <v>6</v>
      </c>
      <c r="H242" s="3">
        <v>22</v>
      </c>
      <c r="I242" s="13" t="s">
        <v>112</v>
      </c>
      <c r="J242" s="2" t="s">
        <v>386</v>
      </c>
      <c r="K242" s="1" t="s">
        <v>133</v>
      </c>
      <c r="L242" s="3" t="s">
        <v>688</v>
      </c>
      <c r="M242" s="108" t="s">
        <v>387</v>
      </c>
      <c r="N242" s="54">
        <v>50</v>
      </c>
      <c r="O242" s="1" t="s">
        <v>381</v>
      </c>
      <c r="P242" s="1">
        <v>2013</v>
      </c>
      <c r="Q242" s="13" t="s">
        <v>380</v>
      </c>
    </row>
    <row r="243" spans="1:17" x14ac:dyDescent="0.15">
      <c r="A243" s="3">
        <v>22</v>
      </c>
      <c r="B243" s="42" t="s">
        <v>76</v>
      </c>
      <c r="C243" s="3">
        <v>159</v>
      </c>
      <c r="D243" s="2" t="s">
        <v>71</v>
      </c>
      <c r="E243" s="4">
        <v>4.46E-5</v>
      </c>
      <c r="F243" s="47"/>
      <c r="G243" s="12">
        <v>4.5999999999999996</v>
      </c>
      <c r="H243" s="3">
        <v>20</v>
      </c>
      <c r="I243" s="13" t="s">
        <v>66</v>
      </c>
      <c r="J243" s="2" t="s">
        <v>68</v>
      </c>
      <c r="K243" s="1" t="s">
        <v>24</v>
      </c>
      <c r="L243" s="3">
        <v>26.8</v>
      </c>
      <c r="M243" s="3">
        <v>0.247</v>
      </c>
      <c r="N243" s="54">
        <v>3</v>
      </c>
      <c r="O243" s="1" t="s">
        <v>64</v>
      </c>
      <c r="P243" s="1">
        <v>1967</v>
      </c>
      <c r="Q243" s="13" t="s">
        <v>65</v>
      </c>
    </row>
    <row r="244" spans="1:17" x14ac:dyDescent="0.15">
      <c r="A244" s="3">
        <v>218</v>
      </c>
      <c r="B244" s="42" t="s">
        <v>188</v>
      </c>
      <c r="C244" s="3">
        <v>160</v>
      </c>
      <c r="D244" s="2" t="s">
        <v>354</v>
      </c>
      <c r="E244" s="8">
        <v>80</v>
      </c>
      <c r="F244" s="48"/>
      <c r="G244" s="12">
        <v>6</v>
      </c>
      <c r="H244" s="3">
        <v>23</v>
      </c>
      <c r="I244" s="13" t="s">
        <v>355</v>
      </c>
      <c r="J244" s="2" t="s">
        <v>185</v>
      </c>
      <c r="K244" s="1" t="s">
        <v>133</v>
      </c>
      <c r="L244" s="3">
        <v>10</v>
      </c>
      <c r="M244" s="3">
        <v>6.0000000000000002E-5</v>
      </c>
      <c r="N244" s="54">
        <v>43</v>
      </c>
      <c r="O244" s="1" t="s">
        <v>285</v>
      </c>
      <c r="P244" s="1">
        <v>2010</v>
      </c>
      <c r="Q244" s="13" t="s">
        <v>353</v>
      </c>
    </row>
    <row r="245" spans="1:17" x14ac:dyDescent="0.15">
      <c r="A245" s="3">
        <v>101</v>
      </c>
      <c r="B245" s="42" t="s">
        <v>76</v>
      </c>
      <c r="D245" s="2" t="s">
        <v>168</v>
      </c>
      <c r="E245" s="4">
        <f>0.000001426*1000/60/60*88</f>
        <v>3.4857777777777779E-5</v>
      </c>
      <c r="F245" s="47">
        <f>0.05*E245</f>
        <v>1.7428888888888891E-6</v>
      </c>
      <c r="G245" s="12">
        <v>7.6</v>
      </c>
      <c r="H245" s="3">
        <v>23</v>
      </c>
      <c r="I245" s="13" t="s">
        <v>169</v>
      </c>
      <c r="J245" s="2" t="s">
        <v>164</v>
      </c>
      <c r="K245" s="1" t="s">
        <v>133</v>
      </c>
      <c r="L245" s="3" t="s">
        <v>675</v>
      </c>
      <c r="M245" s="3" t="s">
        <v>170</v>
      </c>
      <c r="N245" s="54">
        <v>23</v>
      </c>
      <c r="O245" s="1" t="s">
        <v>167</v>
      </c>
      <c r="P245" s="1">
        <v>2002</v>
      </c>
      <c r="Q245" s="13" t="s">
        <v>166</v>
      </c>
    </row>
    <row r="246" spans="1:17" x14ac:dyDescent="0.15">
      <c r="A246" s="3">
        <v>136</v>
      </c>
      <c r="B246" s="42" t="s">
        <v>76</v>
      </c>
      <c r="D246" s="2" t="s">
        <v>168</v>
      </c>
      <c r="E246" s="4">
        <f>AVERAGE(0.0000985, 0.000104)</f>
        <v>1.0124999999999999E-4</v>
      </c>
      <c r="F246" s="47">
        <f>STDEV(0.0000985, 0.000104)</f>
        <v>3.8890872965260103E-6</v>
      </c>
      <c r="G246" s="29">
        <v>7</v>
      </c>
      <c r="H246" s="5">
        <v>25</v>
      </c>
      <c r="I246" s="30" t="s">
        <v>235</v>
      </c>
      <c r="J246" s="2" t="s">
        <v>23</v>
      </c>
      <c r="K246" s="1" t="s">
        <v>24</v>
      </c>
      <c r="L246" s="3" t="s">
        <v>236</v>
      </c>
      <c r="M246" s="3">
        <v>0.05</v>
      </c>
      <c r="N246" s="54">
        <v>31</v>
      </c>
      <c r="O246" s="1" t="s">
        <v>222</v>
      </c>
      <c r="P246" s="1">
        <v>2006</v>
      </c>
      <c r="Q246" s="13" t="s">
        <v>223</v>
      </c>
    </row>
    <row r="247" spans="1:17" x14ac:dyDescent="0.15">
      <c r="A247" s="3">
        <v>356</v>
      </c>
      <c r="B247" s="42" t="s">
        <v>76</v>
      </c>
      <c r="C247" s="3">
        <v>161</v>
      </c>
      <c r="D247" s="2" t="s">
        <v>168</v>
      </c>
      <c r="E247" s="4">
        <f>AVERAGE(E245:E246)</f>
        <v>6.8053888888888894E-5</v>
      </c>
      <c r="F247" s="47">
        <f>STDEV(E245:E246)</f>
        <v>4.6946390551377521E-5</v>
      </c>
      <c r="G247" s="29" t="s">
        <v>771</v>
      </c>
      <c r="H247" s="5" t="s">
        <v>727</v>
      </c>
      <c r="I247" s="30" t="s">
        <v>760</v>
      </c>
      <c r="J247" s="2"/>
      <c r="L247" s="3"/>
      <c r="M247" s="3"/>
      <c r="N247" s="54" t="s">
        <v>772</v>
      </c>
      <c r="Q247" s="13"/>
    </row>
    <row r="248" spans="1:17" x14ac:dyDescent="0.15">
      <c r="A248" s="3">
        <v>34</v>
      </c>
      <c r="B248" s="42" t="s">
        <v>30</v>
      </c>
      <c r="C248" s="3">
        <v>162</v>
      </c>
      <c r="D248" s="2" t="s">
        <v>545</v>
      </c>
      <c r="E248" s="8">
        <v>98</v>
      </c>
      <c r="F248" s="48">
        <f>0.08*E248</f>
        <v>7.84</v>
      </c>
      <c r="G248" s="12" t="s">
        <v>649</v>
      </c>
      <c r="H248" s="3">
        <v>25</v>
      </c>
      <c r="I248" s="13" t="s">
        <v>81</v>
      </c>
      <c r="J248" s="2" t="s">
        <v>23</v>
      </c>
      <c r="K248" s="1" t="s">
        <v>645</v>
      </c>
      <c r="L248" s="3" t="s">
        <v>408</v>
      </c>
      <c r="M248" s="3" t="s">
        <v>408</v>
      </c>
      <c r="N248" s="29">
        <v>7</v>
      </c>
      <c r="O248" s="1" t="s">
        <v>92</v>
      </c>
      <c r="P248" s="1">
        <v>1976</v>
      </c>
      <c r="Q248" s="13" t="s">
        <v>91</v>
      </c>
    </row>
    <row r="249" spans="1:17" x14ac:dyDescent="0.15">
      <c r="A249" s="3">
        <v>33</v>
      </c>
      <c r="B249" s="42" t="s">
        <v>30</v>
      </c>
      <c r="C249" s="3">
        <v>163</v>
      </c>
      <c r="D249" s="2" t="s">
        <v>546</v>
      </c>
      <c r="E249" s="5">
        <v>310</v>
      </c>
      <c r="F249" s="9">
        <f>0.08*E249</f>
        <v>24.8</v>
      </c>
      <c r="G249" s="12" t="s">
        <v>651</v>
      </c>
      <c r="H249" s="3">
        <v>25</v>
      </c>
      <c r="I249" s="13" t="s">
        <v>81</v>
      </c>
      <c r="J249" s="2" t="s">
        <v>23</v>
      </c>
      <c r="K249" s="1" t="s">
        <v>645</v>
      </c>
      <c r="L249" s="3" t="s">
        <v>408</v>
      </c>
      <c r="M249" s="3" t="s">
        <v>408</v>
      </c>
      <c r="N249" s="29">
        <v>7</v>
      </c>
      <c r="O249" s="1" t="s">
        <v>92</v>
      </c>
      <c r="P249" s="1">
        <v>1976</v>
      </c>
      <c r="Q249" s="13" t="s">
        <v>91</v>
      </c>
    </row>
    <row r="250" spans="1:17" x14ac:dyDescent="0.15">
      <c r="A250" s="3">
        <v>276</v>
      </c>
      <c r="B250" s="42" t="s">
        <v>188</v>
      </c>
      <c r="C250" s="3">
        <v>164</v>
      </c>
      <c r="D250" s="2" t="s">
        <v>450</v>
      </c>
      <c r="E250" s="6">
        <v>0.35</v>
      </c>
      <c r="F250" s="46">
        <v>5.0999999999999997E-2</v>
      </c>
      <c r="G250" s="12">
        <v>7</v>
      </c>
      <c r="H250" s="3">
        <v>25</v>
      </c>
      <c r="I250" s="13" t="s">
        <v>452</v>
      </c>
      <c r="J250" s="2" t="s">
        <v>185</v>
      </c>
      <c r="K250" s="1" t="s">
        <v>133</v>
      </c>
      <c r="L250" s="3" t="s">
        <v>97</v>
      </c>
      <c r="M250" s="3" t="s">
        <v>453</v>
      </c>
      <c r="N250" s="54">
        <v>67</v>
      </c>
      <c r="O250" s="1" t="s">
        <v>449</v>
      </c>
      <c r="P250" s="1">
        <v>2018</v>
      </c>
      <c r="Q250" s="13" t="s">
        <v>448</v>
      </c>
    </row>
    <row r="251" spans="1:17" x14ac:dyDescent="0.15">
      <c r="A251" s="3">
        <v>210</v>
      </c>
      <c r="B251" s="42" t="s">
        <v>188</v>
      </c>
      <c r="C251" s="3">
        <v>165</v>
      </c>
      <c r="D251" s="2" t="s">
        <v>341</v>
      </c>
      <c r="E251" s="3" t="s">
        <v>342</v>
      </c>
      <c r="F251" s="24"/>
      <c r="G251" s="12">
        <v>7</v>
      </c>
      <c r="H251" s="3" t="s">
        <v>75</v>
      </c>
      <c r="I251" s="13" t="s">
        <v>112</v>
      </c>
      <c r="J251" s="2" t="s">
        <v>23</v>
      </c>
      <c r="K251" s="1" t="s">
        <v>24</v>
      </c>
      <c r="L251" s="3">
        <v>5</v>
      </c>
      <c r="M251" s="3">
        <v>2.5000000000000001E-4</v>
      </c>
      <c r="N251" s="54">
        <v>40</v>
      </c>
      <c r="O251" s="1" t="s">
        <v>306</v>
      </c>
      <c r="P251" s="1">
        <v>2010</v>
      </c>
      <c r="Q251" s="13" t="s">
        <v>305</v>
      </c>
    </row>
    <row r="252" spans="1:17" x14ac:dyDescent="0.15">
      <c r="A252" s="3">
        <v>167</v>
      </c>
      <c r="B252" s="42" t="s">
        <v>188</v>
      </c>
      <c r="D252" s="2" t="s">
        <v>295</v>
      </c>
      <c r="E252" s="5">
        <v>170</v>
      </c>
      <c r="F252" s="9"/>
      <c r="G252" s="12">
        <v>7.6</v>
      </c>
      <c r="H252" s="3">
        <v>22</v>
      </c>
      <c r="I252" s="13" t="s">
        <v>666</v>
      </c>
      <c r="J252" s="2" t="s">
        <v>298</v>
      </c>
      <c r="K252" s="1" t="s">
        <v>133</v>
      </c>
      <c r="L252" s="3" t="s">
        <v>75</v>
      </c>
      <c r="M252" s="3" t="s">
        <v>301</v>
      </c>
      <c r="N252" s="54">
        <v>39</v>
      </c>
      <c r="O252" s="1" t="s">
        <v>290</v>
      </c>
      <c r="P252" s="1">
        <v>2010</v>
      </c>
      <c r="Q252" s="13" t="s">
        <v>291</v>
      </c>
    </row>
    <row r="253" spans="1:17" x14ac:dyDescent="0.15">
      <c r="A253" s="3">
        <v>275</v>
      </c>
      <c r="B253" s="42" t="s">
        <v>188</v>
      </c>
      <c r="D253" s="2" t="s">
        <v>295</v>
      </c>
      <c r="E253" s="5">
        <v>160.4</v>
      </c>
      <c r="F253" s="9">
        <v>1.3</v>
      </c>
      <c r="G253" s="12">
        <v>7.2</v>
      </c>
      <c r="H253" s="3">
        <v>21</v>
      </c>
      <c r="I253" s="13" t="s">
        <v>262</v>
      </c>
      <c r="J253" s="2" t="s">
        <v>298</v>
      </c>
      <c r="K253" s="1" t="s">
        <v>133</v>
      </c>
      <c r="L253" s="3" t="s">
        <v>29</v>
      </c>
      <c r="M253" s="3" t="s">
        <v>447</v>
      </c>
      <c r="N253" s="54">
        <v>66</v>
      </c>
      <c r="O253" s="1" t="s">
        <v>445</v>
      </c>
      <c r="P253" s="1">
        <v>2018</v>
      </c>
      <c r="Q253" s="13" t="s">
        <v>446</v>
      </c>
    </row>
    <row r="254" spans="1:17" x14ac:dyDescent="0.15">
      <c r="A254" s="3">
        <v>309</v>
      </c>
      <c r="B254" s="42" t="s">
        <v>188</v>
      </c>
      <c r="D254" s="2" t="s">
        <v>295</v>
      </c>
      <c r="E254" s="5">
        <v>118</v>
      </c>
      <c r="F254" s="9">
        <v>9</v>
      </c>
      <c r="G254" s="12">
        <v>6.8</v>
      </c>
      <c r="H254" s="3">
        <v>18</v>
      </c>
      <c r="I254" s="13" t="s">
        <v>698</v>
      </c>
      <c r="J254" s="2" t="s">
        <v>185</v>
      </c>
      <c r="K254" s="1" t="s">
        <v>133</v>
      </c>
      <c r="L254" s="3">
        <v>250</v>
      </c>
      <c r="M254" s="109">
        <v>1.2999999999999999E-5</v>
      </c>
      <c r="N254" s="54">
        <v>77</v>
      </c>
      <c r="O254" s="1" t="s">
        <v>498</v>
      </c>
      <c r="P254" s="1">
        <v>2019</v>
      </c>
      <c r="Q254" s="13" t="s">
        <v>497</v>
      </c>
    </row>
    <row r="255" spans="1:17" x14ac:dyDescent="0.15">
      <c r="A255" s="3">
        <v>357</v>
      </c>
      <c r="B255" s="42" t="s">
        <v>188</v>
      </c>
      <c r="C255" s="3">
        <v>166</v>
      </c>
      <c r="D255" s="2" t="s">
        <v>295</v>
      </c>
      <c r="E255" s="5">
        <f>AVERAGE(E252:E254)</f>
        <v>149.46666666666667</v>
      </c>
      <c r="F255" s="9">
        <f>STDEV(E252:E254)</f>
        <v>27.670441509548464</v>
      </c>
      <c r="G255" s="12" t="s">
        <v>773</v>
      </c>
      <c r="H255" s="3" t="s">
        <v>774</v>
      </c>
      <c r="I255" s="13" t="s">
        <v>775</v>
      </c>
      <c r="J255" s="2"/>
      <c r="L255" s="3"/>
      <c r="M255" s="109"/>
      <c r="N255" s="54" t="s">
        <v>550</v>
      </c>
      <c r="Q255" s="13"/>
    </row>
    <row r="256" spans="1:17" x14ac:dyDescent="0.15">
      <c r="A256" s="3">
        <v>168</v>
      </c>
      <c r="B256" s="42" t="s">
        <v>188</v>
      </c>
      <c r="D256" s="2" t="s">
        <v>296</v>
      </c>
      <c r="E256" s="5">
        <v>246</v>
      </c>
      <c r="F256" s="9"/>
      <c r="G256" s="12">
        <v>7.6</v>
      </c>
      <c r="H256" s="3">
        <v>22</v>
      </c>
      <c r="I256" s="13" t="s">
        <v>666</v>
      </c>
      <c r="J256" s="2" t="s">
        <v>298</v>
      </c>
      <c r="K256" s="1" t="s">
        <v>133</v>
      </c>
      <c r="L256" s="3" t="s">
        <v>75</v>
      </c>
      <c r="M256" s="3" t="s">
        <v>302</v>
      </c>
      <c r="N256" s="54">
        <v>39</v>
      </c>
      <c r="O256" s="1" t="s">
        <v>290</v>
      </c>
      <c r="P256" s="1">
        <v>2010</v>
      </c>
      <c r="Q256" s="13" t="s">
        <v>291</v>
      </c>
    </row>
    <row r="257" spans="1:17" x14ac:dyDescent="0.15">
      <c r="A257" s="3">
        <v>273</v>
      </c>
      <c r="B257" s="42" t="s">
        <v>188</v>
      </c>
      <c r="D257" s="2" t="s">
        <v>296</v>
      </c>
      <c r="E257" s="5">
        <v>213.4</v>
      </c>
      <c r="F257" s="9">
        <v>0.3</v>
      </c>
      <c r="G257" s="12">
        <v>7.2</v>
      </c>
      <c r="H257" s="3">
        <v>21</v>
      </c>
      <c r="I257" s="13" t="s">
        <v>262</v>
      </c>
      <c r="J257" s="2" t="s">
        <v>298</v>
      </c>
      <c r="K257" s="1" t="s">
        <v>133</v>
      </c>
      <c r="L257" s="3" t="s">
        <v>29</v>
      </c>
      <c r="M257" s="3" t="s">
        <v>447</v>
      </c>
      <c r="N257" s="54">
        <v>66</v>
      </c>
      <c r="O257" s="1" t="s">
        <v>445</v>
      </c>
      <c r="P257" s="1">
        <v>2018</v>
      </c>
      <c r="Q257" s="13" t="s">
        <v>446</v>
      </c>
    </row>
    <row r="258" spans="1:17" x14ac:dyDescent="0.15">
      <c r="A258" s="3">
        <v>358</v>
      </c>
      <c r="B258" s="42" t="s">
        <v>188</v>
      </c>
      <c r="C258" s="3">
        <v>167</v>
      </c>
      <c r="D258" s="2" t="s">
        <v>296</v>
      </c>
      <c r="E258" s="5">
        <f>AVERAGE(E256:E257)</f>
        <v>229.7</v>
      </c>
      <c r="F258" s="9">
        <f>STDEV(E256:E257)</f>
        <v>23.051681066681446</v>
      </c>
      <c r="G258" s="12" t="s">
        <v>776</v>
      </c>
      <c r="H258" s="3">
        <v>22</v>
      </c>
      <c r="I258" s="13" t="s">
        <v>760</v>
      </c>
      <c r="J258" s="2"/>
      <c r="L258" s="3"/>
      <c r="M258" s="3"/>
      <c r="N258" s="54" t="s">
        <v>549</v>
      </c>
      <c r="Q258" s="13"/>
    </row>
    <row r="259" spans="1:17" x14ac:dyDescent="0.15">
      <c r="A259" s="3">
        <v>153</v>
      </c>
      <c r="B259" s="42" t="s">
        <v>188</v>
      </c>
      <c r="D259" s="2" t="s">
        <v>261</v>
      </c>
      <c r="E259" s="5">
        <v>357.2</v>
      </c>
      <c r="F259" s="9">
        <v>17.5</v>
      </c>
      <c r="G259" s="12">
        <v>7.2</v>
      </c>
      <c r="H259" s="3">
        <v>20</v>
      </c>
      <c r="I259" s="13" t="s">
        <v>262</v>
      </c>
      <c r="J259" s="2" t="s">
        <v>185</v>
      </c>
      <c r="K259" s="1" t="s">
        <v>133</v>
      </c>
      <c r="L259" s="3" t="s">
        <v>263</v>
      </c>
      <c r="M259" s="3" t="s">
        <v>264</v>
      </c>
      <c r="N259" s="54">
        <v>32</v>
      </c>
      <c r="O259" s="1" t="s">
        <v>260</v>
      </c>
      <c r="P259" s="1">
        <v>2007</v>
      </c>
      <c r="Q259" s="13" t="s">
        <v>259</v>
      </c>
    </row>
    <row r="260" spans="1:17" x14ac:dyDescent="0.15">
      <c r="A260" s="3">
        <v>165</v>
      </c>
      <c r="B260" s="42" t="s">
        <v>188</v>
      </c>
      <c r="D260" s="2" t="s">
        <v>261</v>
      </c>
      <c r="E260" s="5">
        <v>408</v>
      </c>
      <c r="F260" s="9"/>
      <c r="G260" s="12">
        <v>7.6</v>
      </c>
      <c r="H260" s="3">
        <v>22</v>
      </c>
      <c r="I260" s="13" t="s">
        <v>666</v>
      </c>
      <c r="J260" s="2" t="s">
        <v>298</v>
      </c>
      <c r="K260" s="1" t="s">
        <v>133</v>
      </c>
      <c r="L260" s="3" t="s">
        <v>75</v>
      </c>
      <c r="M260" s="3" t="s">
        <v>299</v>
      </c>
      <c r="N260" s="54">
        <v>39</v>
      </c>
      <c r="O260" s="1" t="s">
        <v>290</v>
      </c>
      <c r="P260" s="1">
        <v>2010</v>
      </c>
      <c r="Q260" s="13" t="s">
        <v>291</v>
      </c>
    </row>
    <row r="261" spans="1:17" x14ac:dyDescent="0.15">
      <c r="A261" s="3">
        <v>267</v>
      </c>
      <c r="B261" s="42" t="s">
        <v>188</v>
      </c>
      <c r="D261" s="2" t="s">
        <v>261</v>
      </c>
      <c r="E261" s="5">
        <v>289.89999999999998</v>
      </c>
      <c r="F261" s="9"/>
      <c r="G261" s="12">
        <v>5.6</v>
      </c>
      <c r="H261" s="3">
        <v>23</v>
      </c>
      <c r="I261" s="13" t="s">
        <v>148</v>
      </c>
      <c r="J261" s="2" t="s">
        <v>437</v>
      </c>
      <c r="K261" s="1" t="s">
        <v>133</v>
      </c>
      <c r="L261" s="3" t="s">
        <v>691</v>
      </c>
      <c r="M261" s="3" t="s">
        <v>436</v>
      </c>
      <c r="N261" s="54">
        <v>63</v>
      </c>
      <c r="O261" s="1" t="s">
        <v>434</v>
      </c>
      <c r="P261" s="1">
        <v>2017</v>
      </c>
      <c r="Q261" s="13" t="s">
        <v>435</v>
      </c>
    </row>
    <row r="262" spans="1:17" x14ac:dyDescent="0.15">
      <c r="A262" s="3">
        <v>271</v>
      </c>
      <c r="B262" s="42" t="s">
        <v>188</v>
      </c>
      <c r="D262" s="2" t="s">
        <v>261</v>
      </c>
      <c r="E262" s="5">
        <v>386.2</v>
      </c>
      <c r="F262" s="9">
        <v>0.4</v>
      </c>
      <c r="G262" s="12">
        <v>7.2</v>
      </c>
      <c r="H262" s="3">
        <v>21</v>
      </c>
      <c r="I262" s="13" t="s">
        <v>262</v>
      </c>
      <c r="J262" s="2" t="s">
        <v>298</v>
      </c>
      <c r="K262" s="1" t="s">
        <v>133</v>
      </c>
      <c r="L262" s="3" t="s">
        <v>29</v>
      </c>
      <c r="M262" s="3" t="s">
        <v>447</v>
      </c>
      <c r="N262" s="54">
        <v>66</v>
      </c>
      <c r="O262" s="1" t="s">
        <v>445</v>
      </c>
      <c r="P262" s="1">
        <v>2018</v>
      </c>
      <c r="Q262" s="13" t="s">
        <v>446</v>
      </c>
    </row>
    <row r="263" spans="1:17" x14ac:dyDescent="0.15">
      <c r="A263" s="3">
        <v>293</v>
      </c>
      <c r="B263" s="42" t="s">
        <v>188</v>
      </c>
      <c r="D263" s="2" t="s">
        <v>261</v>
      </c>
      <c r="E263" s="5">
        <v>272</v>
      </c>
      <c r="F263" s="9">
        <v>23</v>
      </c>
      <c r="G263" s="12">
        <v>5.6</v>
      </c>
      <c r="H263" s="3">
        <v>23</v>
      </c>
      <c r="I263" s="13" t="s">
        <v>148</v>
      </c>
      <c r="J263" s="2" t="s">
        <v>185</v>
      </c>
      <c r="K263" s="1" t="s">
        <v>133</v>
      </c>
      <c r="L263" s="3" t="s">
        <v>97</v>
      </c>
      <c r="M263" s="3" t="s">
        <v>471</v>
      </c>
      <c r="N263" s="54">
        <v>73</v>
      </c>
      <c r="O263" s="1" t="s">
        <v>470</v>
      </c>
      <c r="P263" s="1">
        <v>2019</v>
      </c>
      <c r="Q263" s="13" t="s">
        <v>469</v>
      </c>
    </row>
    <row r="264" spans="1:17" x14ac:dyDescent="0.15">
      <c r="A264" s="3">
        <v>310</v>
      </c>
      <c r="B264" s="42" t="s">
        <v>188</v>
      </c>
      <c r="D264" s="2" t="s">
        <v>261</v>
      </c>
      <c r="E264" s="5">
        <v>320</v>
      </c>
      <c r="F264" s="9">
        <v>20</v>
      </c>
      <c r="G264" s="12">
        <v>6.8</v>
      </c>
      <c r="H264" s="3">
        <v>18</v>
      </c>
      <c r="I264" s="13" t="s">
        <v>698</v>
      </c>
      <c r="J264" s="2" t="s">
        <v>185</v>
      </c>
      <c r="K264" s="1" t="s">
        <v>133</v>
      </c>
      <c r="L264" s="3">
        <v>250</v>
      </c>
      <c r="M264" s="109">
        <v>1.2999999999999999E-5</v>
      </c>
      <c r="N264" s="54">
        <v>77</v>
      </c>
      <c r="O264" s="1" t="s">
        <v>498</v>
      </c>
      <c r="P264" s="1">
        <v>2019</v>
      </c>
      <c r="Q264" s="13" t="s">
        <v>497</v>
      </c>
    </row>
    <row r="265" spans="1:17" x14ac:dyDescent="0.15">
      <c r="A265" s="3">
        <v>359</v>
      </c>
      <c r="B265" s="42" t="s">
        <v>188</v>
      </c>
      <c r="C265" s="3">
        <v>168</v>
      </c>
      <c r="D265" s="2" t="s">
        <v>261</v>
      </c>
      <c r="E265" s="5">
        <f>AVERAGE(E259:E264)</f>
        <v>338.88333333333333</v>
      </c>
      <c r="F265" s="9">
        <f>STDEV(E259:E264)</f>
        <v>54.00149689283338</v>
      </c>
      <c r="G265" s="12" t="s">
        <v>777</v>
      </c>
      <c r="H265" s="3" t="s">
        <v>778</v>
      </c>
      <c r="I265" s="13" t="s">
        <v>779</v>
      </c>
      <c r="J265" s="2"/>
      <c r="L265" s="3"/>
      <c r="M265" s="109"/>
      <c r="N265" s="54" t="s">
        <v>551</v>
      </c>
      <c r="Q265" s="13"/>
    </row>
    <row r="266" spans="1:17" x14ac:dyDescent="0.15">
      <c r="A266" s="3">
        <v>169</v>
      </c>
      <c r="B266" s="42" t="s">
        <v>188</v>
      </c>
      <c r="D266" s="2" t="s">
        <v>297</v>
      </c>
      <c r="E266" s="5">
        <v>273</v>
      </c>
      <c r="F266" s="9"/>
      <c r="G266" s="12">
        <v>7.6</v>
      </c>
      <c r="H266" s="3">
        <v>22</v>
      </c>
      <c r="I266" s="13" t="s">
        <v>666</v>
      </c>
      <c r="J266" s="2" t="s">
        <v>298</v>
      </c>
      <c r="K266" s="1" t="s">
        <v>133</v>
      </c>
      <c r="L266" s="3" t="s">
        <v>75</v>
      </c>
      <c r="M266" s="3" t="s">
        <v>303</v>
      </c>
      <c r="N266" s="54">
        <v>39</v>
      </c>
      <c r="O266" s="1" t="s">
        <v>290</v>
      </c>
      <c r="P266" s="1">
        <v>2010</v>
      </c>
      <c r="Q266" s="13" t="s">
        <v>291</v>
      </c>
    </row>
    <row r="267" spans="1:17" x14ac:dyDescent="0.15">
      <c r="A267" s="3">
        <v>274</v>
      </c>
      <c r="B267" s="42" t="s">
        <v>188</v>
      </c>
      <c r="D267" s="2" t="s">
        <v>297</v>
      </c>
      <c r="E267" s="5">
        <v>201.7</v>
      </c>
      <c r="F267" s="9">
        <v>2.6</v>
      </c>
      <c r="G267" s="12">
        <v>7.2</v>
      </c>
      <c r="H267" s="3">
        <v>21</v>
      </c>
      <c r="I267" s="13" t="s">
        <v>262</v>
      </c>
      <c r="J267" s="2" t="s">
        <v>298</v>
      </c>
      <c r="K267" s="1" t="s">
        <v>133</v>
      </c>
      <c r="L267" s="3" t="s">
        <v>29</v>
      </c>
      <c r="M267" s="3" t="s">
        <v>447</v>
      </c>
      <c r="N267" s="54">
        <v>66</v>
      </c>
      <c r="O267" s="1" t="s">
        <v>445</v>
      </c>
      <c r="P267" s="1">
        <v>2018</v>
      </c>
      <c r="Q267" s="13" t="s">
        <v>446</v>
      </c>
    </row>
    <row r="268" spans="1:17" x14ac:dyDescent="0.15">
      <c r="A268" s="3">
        <v>360</v>
      </c>
      <c r="B268" s="42" t="s">
        <v>188</v>
      </c>
      <c r="C268" s="3">
        <v>169</v>
      </c>
      <c r="D268" s="2" t="s">
        <v>297</v>
      </c>
      <c r="E268" s="5">
        <f>AVERAGE(E266:E267)</f>
        <v>237.35</v>
      </c>
      <c r="F268" s="9">
        <f>STDEV(E266:E267)</f>
        <v>50.416713498600707</v>
      </c>
      <c r="G268" s="12" t="s">
        <v>776</v>
      </c>
      <c r="H268" s="3">
        <v>22</v>
      </c>
      <c r="I268" s="13" t="s">
        <v>760</v>
      </c>
      <c r="J268" s="2"/>
      <c r="L268" s="3"/>
      <c r="M268" s="3"/>
      <c r="N268" s="54" t="s">
        <v>549</v>
      </c>
      <c r="Q268" s="13"/>
    </row>
    <row r="269" spans="1:17" x14ac:dyDescent="0.15">
      <c r="A269" s="3">
        <v>128</v>
      </c>
      <c r="B269" s="42" t="s">
        <v>188</v>
      </c>
      <c r="D269" s="2" t="s">
        <v>218</v>
      </c>
      <c r="E269" s="5">
        <f>0.207*1000*158/60</f>
        <v>545.1</v>
      </c>
      <c r="F269" s="9">
        <f>0.061/1.127*E269</f>
        <v>29.504081632653062</v>
      </c>
      <c r="G269" s="12">
        <v>6.7</v>
      </c>
      <c r="H269" s="3">
        <v>25</v>
      </c>
      <c r="I269" s="13" t="s">
        <v>75</v>
      </c>
      <c r="J269" s="2" t="s">
        <v>185</v>
      </c>
      <c r="K269" s="1" t="s">
        <v>133</v>
      </c>
      <c r="L269" s="3" t="s">
        <v>679</v>
      </c>
      <c r="M269" s="3" t="s">
        <v>219</v>
      </c>
      <c r="N269" s="54">
        <v>29</v>
      </c>
      <c r="O269" s="1" t="s">
        <v>217</v>
      </c>
      <c r="P269" s="1">
        <v>2005</v>
      </c>
      <c r="Q269" s="13" t="s">
        <v>216</v>
      </c>
    </row>
    <row r="270" spans="1:17" x14ac:dyDescent="0.15">
      <c r="A270" s="3">
        <v>154</v>
      </c>
      <c r="B270" s="42" t="s">
        <v>188</v>
      </c>
      <c r="D270" s="2" t="s">
        <v>218</v>
      </c>
      <c r="E270" s="5">
        <v>418</v>
      </c>
      <c r="F270" s="9"/>
      <c r="G270" s="12">
        <v>7.2</v>
      </c>
      <c r="H270" s="3">
        <v>20</v>
      </c>
      <c r="I270" s="13" t="s">
        <v>262</v>
      </c>
      <c r="J270" s="2" t="s">
        <v>185</v>
      </c>
      <c r="K270" s="1" t="s">
        <v>620</v>
      </c>
      <c r="L270" s="3" t="s">
        <v>408</v>
      </c>
      <c r="M270" s="96" t="s">
        <v>408</v>
      </c>
      <c r="N270" s="54">
        <v>32</v>
      </c>
      <c r="O270" s="1" t="s">
        <v>260</v>
      </c>
      <c r="P270" s="1">
        <v>2007</v>
      </c>
      <c r="Q270" s="13" t="s">
        <v>259</v>
      </c>
    </row>
    <row r="271" spans="1:17" x14ac:dyDescent="0.15">
      <c r="A271" s="3">
        <v>166</v>
      </c>
      <c r="B271" s="42" t="s">
        <v>188</v>
      </c>
      <c r="D271" s="2" t="s">
        <v>218</v>
      </c>
      <c r="E271" s="5">
        <v>470</v>
      </c>
      <c r="F271" s="9"/>
      <c r="G271" s="12">
        <v>7.6</v>
      </c>
      <c r="H271" s="3">
        <v>22</v>
      </c>
      <c r="I271" s="13" t="s">
        <v>666</v>
      </c>
      <c r="J271" s="2" t="s">
        <v>298</v>
      </c>
      <c r="K271" s="1" t="s">
        <v>133</v>
      </c>
      <c r="L271" s="3" t="s">
        <v>75</v>
      </c>
      <c r="M271" s="3" t="s">
        <v>300</v>
      </c>
      <c r="N271" s="54">
        <v>39</v>
      </c>
      <c r="O271" s="1" t="s">
        <v>290</v>
      </c>
      <c r="P271" s="1">
        <v>2010</v>
      </c>
      <c r="Q271" s="13" t="s">
        <v>291</v>
      </c>
    </row>
    <row r="272" spans="1:17" x14ac:dyDescent="0.15">
      <c r="A272" s="3">
        <v>270</v>
      </c>
      <c r="B272" s="42" t="s">
        <v>188</v>
      </c>
      <c r="D272" s="2" t="s">
        <v>218</v>
      </c>
      <c r="E272" s="5">
        <v>520.1</v>
      </c>
      <c r="F272" s="9">
        <v>8.6</v>
      </c>
      <c r="G272" s="12">
        <v>7.2</v>
      </c>
      <c r="H272" s="3">
        <v>21</v>
      </c>
      <c r="I272" s="13" t="s">
        <v>262</v>
      </c>
      <c r="J272" s="2" t="s">
        <v>298</v>
      </c>
      <c r="K272" s="1" t="s">
        <v>133</v>
      </c>
      <c r="L272" s="3" t="s">
        <v>29</v>
      </c>
      <c r="M272" s="3" t="s">
        <v>447</v>
      </c>
      <c r="N272" s="54">
        <v>66</v>
      </c>
      <c r="O272" s="1" t="s">
        <v>445</v>
      </c>
      <c r="P272" s="1">
        <v>2018</v>
      </c>
      <c r="Q272" s="13" t="s">
        <v>446</v>
      </c>
    </row>
    <row r="273" spans="1:31" x14ac:dyDescent="0.15">
      <c r="A273" s="3">
        <v>311</v>
      </c>
      <c r="B273" s="42" t="s">
        <v>188</v>
      </c>
      <c r="D273" s="2" t="s">
        <v>218</v>
      </c>
      <c r="E273" s="5">
        <v>467</v>
      </c>
      <c r="F273" s="9"/>
      <c r="G273" s="12">
        <v>6.8</v>
      </c>
      <c r="H273" s="3">
        <v>18</v>
      </c>
      <c r="I273" s="13" t="s">
        <v>698</v>
      </c>
      <c r="J273" s="2" t="s">
        <v>185</v>
      </c>
      <c r="K273" s="1" t="s">
        <v>133</v>
      </c>
      <c r="L273" s="3">
        <v>250</v>
      </c>
      <c r="M273" s="109">
        <v>1.2999999999999999E-5</v>
      </c>
      <c r="N273" s="54">
        <v>77</v>
      </c>
      <c r="O273" s="1" t="s">
        <v>498</v>
      </c>
      <c r="P273" s="1">
        <v>2019</v>
      </c>
      <c r="Q273" s="13" t="s">
        <v>497</v>
      </c>
      <c r="AB273" s="34"/>
      <c r="AC273" s="34"/>
      <c r="AD273" s="34"/>
    </row>
    <row r="274" spans="1:31" x14ac:dyDescent="0.15">
      <c r="A274" s="3">
        <v>361</v>
      </c>
      <c r="B274" s="42" t="s">
        <v>188</v>
      </c>
      <c r="C274" s="3">
        <v>170</v>
      </c>
      <c r="D274" s="2" t="s">
        <v>218</v>
      </c>
      <c r="E274" s="5">
        <f>AVERAGE(E269:E273)</f>
        <v>484.03999999999996</v>
      </c>
      <c r="F274" s="9">
        <f>STDEV(E269:E273)</f>
        <v>49.692584959931402</v>
      </c>
      <c r="G274" s="12" t="s">
        <v>780</v>
      </c>
      <c r="H274" s="3" t="s">
        <v>781</v>
      </c>
      <c r="I274" s="13" t="s">
        <v>775</v>
      </c>
      <c r="J274" s="2"/>
      <c r="L274" s="3"/>
      <c r="M274" s="109"/>
      <c r="N274" s="54" t="s">
        <v>552</v>
      </c>
      <c r="Q274" s="13"/>
      <c r="AB274" s="34"/>
      <c r="AC274" s="34"/>
      <c r="AD274" s="34"/>
    </row>
    <row r="275" spans="1:31" x14ac:dyDescent="0.15">
      <c r="A275" s="3">
        <v>155</v>
      </c>
      <c r="B275" s="42" t="s">
        <v>188</v>
      </c>
      <c r="D275" s="2" t="s">
        <v>265</v>
      </c>
      <c r="E275" s="5">
        <v>405.9</v>
      </c>
      <c r="F275" s="9"/>
      <c r="G275" s="12">
        <v>7.2</v>
      </c>
      <c r="H275" s="3">
        <v>20</v>
      </c>
      <c r="I275" s="13" t="s">
        <v>262</v>
      </c>
      <c r="J275" s="2" t="s">
        <v>185</v>
      </c>
      <c r="K275" s="1" t="s">
        <v>620</v>
      </c>
      <c r="L275" s="3" t="s">
        <v>408</v>
      </c>
      <c r="M275" s="96" t="s">
        <v>408</v>
      </c>
      <c r="N275" s="54">
        <v>32</v>
      </c>
      <c r="O275" s="1" t="s">
        <v>260</v>
      </c>
      <c r="P275" s="1">
        <v>2007</v>
      </c>
      <c r="Q275" s="13" t="s">
        <v>259</v>
      </c>
      <c r="AB275" s="34"/>
      <c r="AC275" s="34"/>
      <c r="AD275" s="34"/>
    </row>
    <row r="276" spans="1:31" x14ac:dyDescent="0.15">
      <c r="A276" s="3">
        <v>170</v>
      </c>
      <c r="B276" s="42" t="s">
        <v>188</v>
      </c>
      <c r="D276" s="2" t="s">
        <v>265</v>
      </c>
      <c r="E276" s="5">
        <v>396</v>
      </c>
      <c r="F276" s="9"/>
      <c r="G276" s="12">
        <v>7.6</v>
      </c>
      <c r="H276" s="3">
        <v>22</v>
      </c>
      <c r="I276" s="13" t="s">
        <v>666</v>
      </c>
      <c r="J276" s="2" t="s">
        <v>298</v>
      </c>
      <c r="K276" s="1" t="s">
        <v>133</v>
      </c>
      <c r="L276" s="3" t="s">
        <v>75</v>
      </c>
      <c r="M276" s="3" t="s">
        <v>304</v>
      </c>
      <c r="N276" s="54">
        <v>39</v>
      </c>
      <c r="O276" s="1" t="s">
        <v>290</v>
      </c>
      <c r="P276" s="1">
        <v>2010</v>
      </c>
      <c r="Q276" s="13" t="s">
        <v>291</v>
      </c>
      <c r="AB276" s="34"/>
      <c r="AC276" s="34"/>
      <c r="AD276" s="34"/>
      <c r="AE276" s="34"/>
    </row>
    <row r="277" spans="1:31" x14ac:dyDescent="0.15">
      <c r="A277" s="3">
        <v>272</v>
      </c>
      <c r="B277" s="42" t="s">
        <v>188</v>
      </c>
      <c r="D277" s="2" t="s">
        <v>265</v>
      </c>
      <c r="E277" s="5">
        <v>382.1</v>
      </c>
      <c r="F277" s="9">
        <v>1.2</v>
      </c>
      <c r="G277" s="12">
        <v>7.2</v>
      </c>
      <c r="H277" s="3">
        <v>21</v>
      </c>
      <c r="I277" s="13" t="s">
        <v>262</v>
      </c>
      <c r="J277" s="2" t="s">
        <v>298</v>
      </c>
      <c r="K277" s="1" t="s">
        <v>133</v>
      </c>
      <c r="L277" s="3" t="s">
        <v>29</v>
      </c>
      <c r="M277" s="3" t="s">
        <v>447</v>
      </c>
      <c r="N277" s="54">
        <v>66</v>
      </c>
      <c r="O277" s="1" t="s">
        <v>445</v>
      </c>
      <c r="P277" s="1">
        <v>2018</v>
      </c>
      <c r="Q277" s="13" t="s">
        <v>446</v>
      </c>
      <c r="AB277" s="34"/>
      <c r="AC277" s="34"/>
      <c r="AD277" s="34"/>
    </row>
    <row r="278" spans="1:31" x14ac:dyDescent="0.15">
      <c r="A278" s="3">
        <v>362</v>
      </c>
      <c r="B278" s="42" t="s">
        <v>188</v>
      </c>
      <c r="C278" s="3">
        <v>171</v>
      </c>
      <c r="D278" s="2" t="s">
        <v>265</v>
      </c>
      <c r="E278" s="5">
        <f>AVERAGE(E275:E277)</f>
        <v>394.66666666666669</v>
      </c>
      <c r="F278" s="9">
        <f>STDEV(E275:E277)</f>
        <v>11.955891155967119</v>
      </c>
      <c r="G278" s="12" t="s">
        <v>776</v>
      </c>
      <c r="H278" s="3">
        <v>21</v>
      </c>
      <c r="I278" s="13" t="s">
        <v>760</v>
      </c>
      <c r="J278" s="2"/>
      <c r="L278" s="3"/>
      <c r="M278" s="3"/>
      <c r="N278" s="54" t="s">
        <v>553</v>
      </c>
      <c r="Q278" s="13"/>
      <c r="AB278" s="34"/>
      <c r="AC278" s="34"/>
      <c r="AD278" s="34"/>
    </row>
    <row r="279" spans="1:31" x14ac:dyDescent="0.15">
      <c r="A279" s="3">
        <v>207</v>
      </c>
      <c r="B279" s="42" t="s">
        <v>188</v>
      </c>
      <c r="C279" s="3">
        <v>172</v>
      </c>
      <c r="D279" s="2" t="s">
        <v>339</v>
      </c>
      <c r="E279" s="7">
        <v>0.04</v>
      </c>
      <c r="F279" s="45">
        <f>1.2/8.9*E279</f>
        <v>5.3932584269662919E-3</v>
      </c>
      <c r="G279" s="12">
        <v>7</v>
      </c>
      <c r="H279" s="3" t="s">
        <v>75</v>
      </c>
      <c r="I279" s="13" t="s">
        <v>112</v>
      </c>
      <c r="J279" s="2" t="s">
        <v>23</v>
      </c>
      <c r="K279" s="1" t="s">
        <v>24</v>
      </c>
      <c r="L279" s="3">
        <v>5</v>
      </c>
      <c r="M279" s="3">
        <v>2.5000000000000001E-4</v>
      </c>
      <c r="N279" s="54">
        <v>40</v>
      </c>
      <c r="O279" s="1" t="s">
        <v>306</v>
      </c>
      <c r="P279" s="1">
        <v>2010</v>
      </c>
      <c r="Q279" s="13" t="s">
        <v>305</v>
      </c>
      <c r="AB279" s="34"/>
      <c r="AC279" s="34"/>
      <c r="AD279" s="34"/>
    </row>
    <row r="280" spans="1:31" x14ac:dyDescent="0.15">
      <c r="A280" s="3">
        <v>198</v>
      </c>
      <c r="B280" s="42" t="s">
        <v>188</v>
      </c>
      <c r="C280" s="3">
        <v>173</v>
      </c>
      <c r="D280" s="2" t="s">
        <v>330</v>
      </c>
      <c r="E280" s="6">
        <v>0.84</v>
      </c>
      <c r="F280" s="46">
        <f>0.01/0.21*E280</f>
        <v>0.04</v>
      </c>
      <c r="G280" s="12">
        <v>7</v>
      </c>
      <c r="H280" s="3" t="s">
        <v>75</v>
      </c>
      <c r="I280" s="13" t="s">
        <v>112</v>
      </c>
      <c r="J280" s="2" t="s">
        <v>23</v>
      </c>
      <c r="K280" s="1" t="s">
        <v>24</v>
      </c>
      <c r="L280" s="3">
        <v>5</v>
      </c>
      <c r="M280" s="3">
        <v>2.5000000000000001E-4</v>
      </c>
      <c r="N280" s="54">
        <v>40</v>
      </c>
      <c r="O280" s="1" t="s">
        <v>306</v>
      </c>
      <c r="P280" s="1">
        <v>2010</v>
      </c>
      <c r="Q280" s="13" t="s">
        <v>305</v>
      </c>
    </row>
    <row r="281" spans="1:31" x14ac:dyDescent="0.15">
      <c r="A281" s="3">
        <v>112</v>
      </c>
      <c r="B281" s="42" t="s">
        <v>76</v>
      </c>
      <c r="C281" s="3">
        <v>174</v>
      </c>
      <c r="D281" s="2" t="s">
        <v>196</v>
      </c>
      <c r="E281" s="7">
        <v>1.0999999999999999E-2</v>
      </c>
      <c r="F281" s="45">
        <v>2E-3</v>
      </c>
      <c r="G281" s="12">
        <v>5.6</v>
      </c>
      <c r="H281" s="3">
        <v>21</v>
      </c>
      <c r="I281" s="13" t="s">
        <v>148</v>
      </c>
      <c r="J281" s="2" t="s">
        <v>164</v>
      </c>
      <c r="K281" s="1" t="s">
        <v>133</v>
      </c>
      <c r="L281" s="3" t="s">
        <v>581</v>
      </c>
      <c r="M281" s="3" t="s">
        <v>206</v>
      </c>
      <c r="N281" s="54">
        <v>28</v>
      </c>
      <c r="O281" s="1" t="s">
        <v>193</v>
      </c>
      <c r="P281" s="1">
        <v>2004</v>
      </c>
      <c r="Q281" s="13" t="s">
        <v>194</v>
      </c>
    </row>
    <row r="282" spans="1:31" x14ac:dyDescent="0.15">
      <c r="A282" s="3">
        <v>245</v>
      </c>
      <c r="B282" s="42" t="s">
        <v>188</v>
      </c>
      <c r="C282" s="3">
        <v>175</v>
      </c>
      <c r="D282" s="2" t="s">
        <v>384</v>
      </c>
      <c r="E282" s="8">
        <v>219</v>
      </c>
      <c r="F282" s="48">
        <v>13</v>
      </c>
      <c r="G282" s="12">
        <v>6</v>
      </c>
      <c r="H282" s="3">
        <v>22</v>
      </c>
      <c r="I282" s="13" t="s">
        <v>112</v>
      </c>
      <c r="J282" s="2" t="s">
        <v>386</v>
      </c>
      <c r="K282" s="1" t="s">
        <v>133</v>
      </c>
      <c r="L282" s="3" t="s">
        <v>688</v>
      </c>
      <c r="M282" s="108" t="s">
        <v>387</v>
      </c>
      <c r="N282" s="54">
        <v>50</v>
      </c>
      <c r="O282" s="1" t="s">
        <v>381</v>
      </c>
      <c r="P282" s="1">
        <v>2013</v>
      </c>
      <c r="Q282" s="13" t="s">
        <v>380</v>
      </c>
    </row>
    <row r="283" spans="1:31" x14ac:dyDescent="0.15">
      <c r="A283" s="3">
        <v>197</v>
      </c>
      <c r="B283" s="42" t="s">
        <v>188</v>
      </c>
      <c r="C283" s="3">
        <v>176</v>
      </c>
      <c r="D283" s="2" t="s">
        <v>329</v>
      </c>
      <c r="E283" s="6">
        <v>0.84</v>
      </c>
      <c r="F283" s="46">
        <f>0.02/0.21*E283</f>
        <v>0.08</v>
      </c>
      <c r="G283" s="12">
        <v>7</v>
      </c>
      <c r="H283" s="3" t="s">
        <v>75</v>
      </c>
      <c r="I283" s="13" t="s">
        <v>112</v>
      </c>
      <c r="J283" s="2" t="s">
        <v>23</v>
      </c>
      <c r="K283" s="1" t="s">
        <v>24</v>
      </c>
      <c r="L283" s="3">
        <v>5</v>
      </c>
      <c r="M283" s="3">
        <v>2.5000000000000001E-4</v>
      </c>
      <c r="N283" s="54">
        <v>40</v>
      </c>
      <c r="O283" s="1" t="s">
        <v>306</v>
      </c>
      <c r="P283" s="1">
        <v>2010</v>
      </c>
      <c r="Q283" s="13" t="s">
        <v>305</v>
      </c>
    </row>
    <row r="284" spans="1:31" x14ac:dyDescent="0.15">
      <c r="A284" s="3">
        <v>184</v>
      </c>
      <c r="B284" s="42" t="s">
        <v>188</v>
      </c>
      <c r="D284" s="2" t="s">
        <v>317</v>
      </c>
      <c r="E284" s="6">
        <v>4.4000000000000004</v>
      </c>
      <c r="F284" s="46">
        <f>0.09/1.1*E284</f>
        <v>0.36</v>
      </c>
      <c r="G284" s="12">
        <v>7</v>
      </c>
      <c r="H284" s="3" t="s">
        <v>75</v>
      </c>
      <c r="I284" s="13" t="s">
        <v>112</v>
      </c>
      <c r="J284" s="2" t="s">
        <v>23</v>
      </c>
      <c r="K284" s="1" t="s">
        <v>24</v>
      </c>
      <c r="L284" s="3">
        <v>5</v>
      </c>
      <c r="M284" s="3">
        <v>2.5000000000000001E-4</v>
      </c>
      <c r="N284" s="54">
        <v>40</v>
      </c>
      <c r="O284" s="1" t="s">
        <v>306</v>
      </c>
      <c r="P284" s="1">
        <v>2010</v>
      </c>
      <c r="Q284" s="13" t="s">
        <v>305</v>
      </c>
    </row>
    <row r="285" spans="1:31" x14ac:dyDescent="0.15">
      <c r="A285" s="3">
        <v>185</v>
      </c>
      <c r="B285" s="42" t="s">
        <v>188</v>
      </c>
      <c r="D285" s="2" t="s">
        <v>317</v>
      </c>
      <c r="E285" s="6">
        <v>2.12</v>
      </c>
      <c r="F285" s="46">
        <f>0.06/0.53*E285</f>
        <v>0.24</v>
      </c>
      <c r="G285" s="12">
        <v>7</v>
      </c>
      <c r="H285" s="3" t="s">
        <v>75</v>
      </c>
      <c r="I285" s="13" t="s">
        <v>112</v>
      </c>
      <c r="J285" s="2" t="s">
        <v>23</v>
      </c>
      <c r="K285" s="1" t="s">
        <v>24</v>
      </c>
      <c r="L285" s="3">
        <v>5</v>
      </c>
      <c r="M285" s="3">
        <v>2.5000000000000001E-4</v>
      </c>
      <c r="N285" s="54">
        <v>40</v>
      </c>
      <c r="O285" s="1" t="s">
        <v>306</v>
      </c>
      <c r="P285" s="1">
        <v>2010</v>
      </c>
      <c r="Q285" s="13" t="s">
        <v>305</v>
      </c>
    </row>
    <row r="286" spans="1:31" x14ac:dyDescent="0.15">
      <c r="A286" s="3">
        <v>363</v>
      </c>
      <c r="B286" s="42" t="s">
        <v>188</v>
      </c>
      <c r="C286" s="3">
        <v>177</v>
      </c>
      <c r="D286" s="2" t="s">
        <v>317</v>
      </c>
      <c r="E286" s="6">
        <f>AVERAGE(E284:E285)</f>
        <v>3.2600000000000002</v>
      </c>
      <c r="F286" s="46">
        <f>STDEV(E284:E285)</f>
        <v>1.6122034611053293</v>
      </c>
      <c r="G286" s="12">
        <v>7</v>
      </c>
      <c r="H286" s="3" t="s">
        <v>63</v>
      </c>
      <c r="I286" s="13" t="s">
        <v>760</v>
      </c>
      <c r="J286" s="2"/>
      <c r="L286" s="3"/>
      <c r="M286" s="3"/>
      <c r="N286" s="54">
        <v>40</v>
      </c>
      <c r="Q286" s="13"/>
    </row>
    <row r="287" spans="1:31" x14ac:dyDescent="0.15">
      <c r="A287" s="3">
        <v>18</v>
      </c>
      <c r="B287" s="42" t="s">
        <v>30</v>
      </c>
      <c r="C287" s="3">
        <v>178</v>
      </c>
      <c r="D287" s="2" t="s">
        <v>644</v>
      </c>
      <c r="E287" s="5">
        <v>70</v>
      </c>
      <c r="F287" s="48"/>
      <c r="G287" s="12">
        <v>13</v>
      </c>
      <c r="H287" s="3">
        <v>25</v>
      </c>
      <c r="I287" s="13" t="s">
        <v>47</v>
      </c>
      <c r="J287" s="2" t="s">
        <v>23</v>
      </c>
      <c r="K287" s="1" t="s">
        <v>24</v>
      </c>
      <c r="L287" s="3" t="s">
        <v>58</v>
      </c>
      <c r="M287" s="3" t="s">
        <v>59</v>
      </c>
      <c r="N287" s="54">
        <v>2</v>
      </c>
      <c r="O287" s="1" t="s">
        <v>19</v>
      </c>
      <c r="P287" s="1">
        <v>1966</v>
      </c>
      <c r="Q287" s="13" t="s">
        <v>45</v>
      </c>
    </row>
    <row r="288" spans="1:31" x14ac:dyDescent="0.15">
      <c r="A288" s="3">
        <v>179</v>
      </c>
      <c r="B288" s="42" t="s">
        <v>188</v>
      </c>
      <c r="C288" s="3">
        <v>179</v>
      </c>
      <c r="D288" s="2" t="s">
        <v>312</v>
      </c>
      <c r="E288" s="8">
        <v>53.6</v>
      </c>
      <c r="F288" s="48">
        <f>4.47/13.4*E288</f>
        <v>17.88</v>
      </c>
      <c r="G288" s="12">
        <v>7</v>
      </c>
      <c r="H288" s="3" t="s">
        <v>75</v>
      </c>
      <c r="I288" s="13" t="s">
        <v>112</v>
      </c>
      <c r="J288" s="2" t="s">
        <v>23</v>
      </c>
      <c r="K288" s="1" t="s">
        <v>24</v>
      </c>
      <c r="L288" s="3">
        <v>5</v>
      </c>
      <c r="M288" s="3">
        <v>2.5000000000000001E-4</v>
      </c>
      <c r="N288" s="54">
        <v>40</v>
      </c>
      <c r="O288" s="1" t="s">
        <v>306</v>
      </c>
      <c r="P288" s="1">
        <v>2010</v>
      </c>
      <c r="Q288" s="13" t="s">
        <v>305</v>
      </c>
    </row>
    <row r="289" spans="1:17" x14ac:dyDescent="0.15">
      <c r="A289" s="3">
        <v>236</v>
      </c>
      <c r="B289" s="42" t="s">
        <v>30</v>
      </c>
      <c r="C289" s="3">
        <v>180.1</v>
      </c>
      <c r="D289" s="2" t="s">
        <v>366</v>
      </c>
      <c r="E289" s="6">
        <v>0.37</v>
      </c>
      <c r="F289" s="46"/>
      <c r="G289" s="12">
        <v>7</v>
      </c>
      <c r="H289" s="3">
        <v>25</v>
      </c>
      <c r="I289" s="13" t="s">
        <v>368</v>
      </c>
      <c r="J289" s="2" t="s">
        <v>185</v>
      </c>
      <c r="K289" s="1" t="s">
        <v>133</v>
      </c>
      <c r="L289" s="3">
        <v>10</v>
      </c>
      <c r="M289" s="3">
        <v>5.0000000000000002E-5</v>
      </c>
      <c r="N289" s="54">
        <v>47</v>
      </c>
      <c r="O289" s="1" t="s">
        <v>364</v>
      </c>
      <c r="P289" s="1">
        <v>2012</v>
      </c>
      <c r="Q289" s="13" t="s">
        <v>363</v>
      </c>
    </row>
    <row r="290" spans="1:17" x14ac:dyDescent="0.15">
      <c r="A290" s="3">
        <v>288</v>
      </c>
      <c r="B290" s="42" t="s">
        <v>76</v>
      </c>
      <c r="C290" s="3">
        <v>180</v>
      </c>
      <c r="D290" s="2" t="s">
        <v>366</v>
      </c>
      <c r="E290" s="8">
        <v>30</v>
      </c>
      <c r="F290" s="48"/>
      <c r="G290" s="12">
        <v>7</v>
      </c>
      <c r="H290" s="3">
        <v>21</v>
      </c>
      <c r="I290" s="13" t="s">
        <v>457</v>
      </c>
      <c r="J290" s="2" t="s">
        <v>185</v>
      </c>
      <c r="K290" s="1" t="s">
        <v>133</v>
      </c>
      <c r="L290" s="3" t="s">
        <v>692</v>
      </c>
      <c r="M290" s="3" t="s">
        <v>48</v>
      </c>
      <c r="N290" s="54">
        <v>68</v>
      </c>
      <c r="O290" s="1" t="s">
        <v>455</v>
      </c>
      <c r="P290" s="1">
        <v>2018</v>
      </c>
      <c r="Q290" s="13" t="s">
        <v>454</v>
      </c>
    </row>
    <row r="291" spans="1:17" x14ac:dyDescent="0.15">
      <c r="A291" s="3">
        <v>242</v>
      </c>
      <c r="B291" s="42" t="s">
        <v>188</v>
      </c>
      <c r="C291" s="3">
        <v>181.1</v>
      </c>
      <c r="D291" s="2" t="s">
        <v>379</v>
      </c>
      <c r="E291" s="4">
        <f>0.46/24/60/60/(0.001/158)</f>
        <v>0.84120370370370368</v>
      </c>
      <c r="F291" s="47"/>
      <c r="G291" s="12">
        <v>4.2</v>
      </c>
      <c r="H291" s="3">
        <v>25</v>
      </c>
      <c r="I291" s="13" t="s">
        <v>666</v>
      </c>
      <c r="J291" s="2" t="s">
        <v>298</v>
      </c>
      <c r="K291" s="1" t="s">
        <v>133</v>
      </c>
      <c r="L291" s="5">
        <f>M291/(0.0001/500.13)</f>
        <v>31.65379746835443</v>
      </c>
      <c r="M291" s="3">
        <f>0.001/158</f>
        <v>6.3291139240506333E-6</v>
      </c>
      <c r="N291" s="54">
        <v>49</v>
      </c>
      <c r="O291" s="1" t="s">
        <v>378</v>
      </c>
      <c r="P291" s="1">
        <v>2012</v>
      </c>
      <c r="Q291" s="13" t="s">
        <v>377</v>
      </c>
    </row>
    <row r="292" spans="1:17" x14ac:dyDescent="0.15">
      <c r="A292" s="3">
        <v>313</v>
      </c>
      <c r="B292" s="42" t="s">
        <v>188</v>
      </c>
      <c r="C292" s="3">
        <v>181</v>
      </c>
      <c r="D292" s="2" t="s">
        <v>379</v>
      </c>
      <c r="E292" s="3" t="s">
        <v>503</v>
      </c>
      <c r="F292" s="24"/>
      <c r="G292" s="12">
        <v>4.5</v>
      </c>
      <c r="H292" s="3">
        <v>65</v>
      </c>
      <c r="I292" s="13" t="s">
        <v>700</v>
      </c>
      <c r="J292" s="2" t="s">
        <v>298</v>
      </c>
      <c r="K292" s="1" t="s">
        <v>133</v>
      </c>
      <c r="L292" s="5">
        <f>M292/(0.0001/538.2)</f>
        <v>172.22400000000002</v>
      </c>
      <c r="M292" s="3">
        <v>3.1999999999999999E-5</v>
      </c>
      <c r="N292" s="54">
        <v>79</v>
      </c>
      <c r="O292" s="1" t="s">
        <v>502</v>
      </c>
      <c r="P292" s="1">
        <v>2020</v>
      </c>
      <c r="Q292" s="13" t="s">
        <v>501</v>
      </c>
    </row>
    <row r="293" spans="1:17" x14ac:dyDescent="0.15">
      <c r="A293" s="3">
        <v>113</v>
      </c>
      <c r="B293" s="42" t="s">
        <v>76</v>
      </c>
      <c r="C293" s="3">
        <v>182</v>
      </c>
      <c r="D293" s="2" t="s">
        <v>197</v>
      </c>
      <c r="E293" s="4">
        <v>4.1999999999999997E-3</v>
      </c>
      <c r="F293" s="47">
        <v>0.03</v>
      </c>
      <c r="G293" s="12">
        <v>5.6</v>
      </c>
      <c r="H293" s="3">
        <v>21</v>
      </c>
      <c r="I293" s="13" t="s">
        <v>148</v>
      </c>
      <c r="J293" s="2" t="s">
        <v>164</v>
      </c>
      <c r="K293" s="1" t="s">
        <v>133</v>
      </c>
      <c r="L293" s="3" t="s">
        <v>583</v>
      </c>
      <c r="M293" s="3" t="s">
        <v>207</v>
      </c>
      <c r="N293" s="54">
        <v>28</v>
      </c>
      <c r="O293" s="1" t="s">
        <v>193</v>
      </c>
      <c r="P293" s="1">
        <v>2004</v>
      </c>
      <c r="Q293" s="13" t="s">
        <v>194</v>
      </c>
    </row>
    <row r="294" spans="1:17" x14ac:dyDescent="0.15">
      <c r="A294" s="3">
        <v>70</v>
      </c>
      <c r="B294" s="42" t="s">
        <v>30</v>
      </c>
      <c r="C294" s="3">
        <v>183</v>
      </c>
      <c r="D294" s="2" t="s">
        <v>128</v>
      </c>
      <c r="E294" s="7">
        <v>2.1299999999999999E-2</v>
      </c>
      <c r="F294" s="46"/>
      <c r="G294" s="12">
        <v>7</v>
      </c>
      <c r="H294" s="3">
        <v>25</v>
      </c>
      <c r="I294" s="13" t="s">
        <v>127</v>
      </c>
      <c r="J294" s="2" t="s">
        <v>23</v>
      </c>
      <c r="K294" s="1" t="s">
        <v>24</v>
      </c>
      <c r="L294" s="3">
        <f>M294/0.000231</f>
        <v>10.389610389610388</v>
      </c>
      <c r="M294" s="3">
        <v>2.3999999999999998E-3</v>
      </c>
      <c r="N294" s="54">
        <v>14</v>
      </c>
      <c r="O294" s="1" t="s">
        <v>125</v>
      </c>
      <c r="P294" s="1">
        <v>1996</v>
      </c>
      <c r="Q294" s="13" t="s">
        <v>124</v>
      </c>
    </row>
    <row r="295" spans="1:17" x14ac:dyDescent="0.15">
      <c r="A295" s="3">
        <v>105</v>
      </c>
      <c r="B295" s="42" t="s">
        <v>30</v>
      </c>
      <c r="D295" s="2" t="s">
        <v>15</v>
      </c>
      <c r="E295" s="3">
        <v>1.39</v>
      </c>
      <c r="F295" s="24">
        <v>0.42</v>
      </c>
      <c r="G295" s="12">
        <v>5.6</v>
      </c>
      <c r="H295" s="5">
        <v>23</v>
      </c>
      <c r="I295" s="13" t="s">
        <v>148</v>
      </c>
      <c r="J295" s="2" t="s">
        <v>23</v>
      </c>
      <c r="K295" s="1" t="s">
        <v>24</v>
      </c>
      <c r="L295" s="3" t="s">
        <v>564</v>
      </c>
      <c r="M295" s="3" t="s">
        <v>559</v>
      </c>
      <c r="N295" s="54">
        <v>83</v>
      </c>
      <c r="O295" s="1" t="s">
        <v>554</v>
      </c>
      <c r="P295" s="1">
        <v>2019</v>
      </c>
      <c r="Q295" s="13" t="s">
        <v>599</v>
      </c>
    </row>
    <row r="296" spans="1:17" x14ac:dyDescent="0.15">
      <c r="A296" s="3">
        <v>159</v>
      </c>
      <c r="B296" s="42" t="s">
        <v>30</v>
      </c>
      <c r="D296" s="2" t="s">
        <v>15</v>
      </c>
      <c r="E296" s="6">
        <v>1.6</v>
      </c>
      <c r="F296" s="46">
        <v>0.2</v>
      </c>
      <c r="G296" s="12">
        <v>5.6</v>
      </c>
      <c r="H296" s="3">
        <v>23</v>
      </c>
      <c r="I296" s="13" t="s">
        <v>148</v>
      </c>
      <c r="J296" s="2" t="s">
        <v>185</v>
      </c>
      <c r="K296" s="1" t="s">
        <v>133</v>
      </c>
      <c r="L296" s="3" t="s">
        <v>697</v>
      </c>
      <c r="M296" s="3" t="s">
        <v>475</v>
      </c>
      <c r="N296" s="54">
        <v>74</v>
      </c>
      <c r="O296" s="1" t="s">
        <v>481</v>
      </c>
      <c r="P296" s="1">
        <v>2019</v>
      </c>
      <c r="Q296" s="13" t="s">
        <v>480</v>
      </c>
    </row>
    <row r="297" spans="1:17" x14ac:dyDescent="0.15">
      <c r="A297" s="3">
        <v>162</v>
      </c>
      <c r="B297" s="42" t="s">
        <v>30</v>
      </c>
      <c r="D297" s="2" t="s">
        <v>15</v>
      </c>
      <c r="E297" s="6">
        <v>1.7</v>
      </c>
      <c r="F297" s="46">
        <v>0.2</v>
      </c>
      <c r="G297" s="12">
        <v>5.6</v>
      </c>
      <c r="H297" s="3">
        <v>23</v>
      </c>
      <c r="I297" s="13" t="s">
        <v>148</v>
      </c>
      <c r="J297" s="2" t="s">
        <v>23</v>
      </c>
      <c r="K297" s="1" t="s">
        <v>24</v>
      </c>
      <c r="L297" s="3" t="s">
        <v>482</v>
      </c>
      <c r="M297" s="3" t="s">
        <v>453</v>
      </c>
      <c r="N297" s="54">
        <v>74</v>
      </c>
      <c r="O297" s="1" t="s">
        <v>481</v>
      </c>
      <c r="P297" s="1">
        <v>2019</v>
      </c>
      <c r="Q297" s="13" t="s">
        <v>480</v>
      </c>
    </row>
    <row r="298" spans="1:17" x14ac:dyDescent="0.15">
      <c r="A298" s="3">
        <v>211</v>
      </c>
      <c r="B298" s="42" t="s">
        <v>76</v>
      </c>
      <c r="D298" s="2" t="s">
        <v>15</v>
      </c>
      <c r="E298" s="6">
        <v>4.4000000000000004</v>
      </c>
      <c r="F298" s="46"/>
      <c r="G298" s="12">
        <v>7</v>
      </c>
      <c r="H298" s="3">
        <v>19</v>
      </c>
      <c r="I298" s="13" t="s">
        <v>346</v>
      </c>
      <c r="J298" s="2" t="s">
        <v>185</v>
      </c>
      <c r="K298" s="1" t="s">
        <v>133</v>
      </c>
      <c r="L298" s="3">
        <v>5</v>
      </c>
      <c r="M298" s="3">
        <v>5.0000000000000002E-5</v>
      </c>
      <c r="N298" s="54">
        <v>35</v>
      </c>
      <c r="O298" s="1" t="s">
        <v>278</v>
      </c>
      <c r="P298" s="1">
        <v>2009</v>
      </c>
      <c r="Q298" s="13" t="s">
        <v>279</v>
      </c>
    </row>
    <row r="299" spans="1:17" x14ac:dyDescent="0.15">
      <c r="A299" s="3">
        <v>227</v>
      </c>
      <c r="B299" s="42" t="s">
        <v>76</v>
      </c>
      <c r="D299" s="2" t="s">
        <v>15</v>
      </c>
      <c r="E299" s="6">
        <v>4.5999999999999996</v>
      </c>
      <c r="F299" s="46"/>
      <c r="G299" s="12">
        <v>7</v>
      </c>
      <c r="H299" s="3">
        <v>19</v>
      </c>
      <c r="I299" s="13" t="s">
        <v>346</v>
      </c>
      <c r="J299" s="2" t="s">
        <v>185</v>
      </c>
      <c r="K299" s="1" t="s">
        <v>133</v>
      </c>
      <c r="L299" s="3">
        <v>5</v>
      </c>
      <c r="M299" s="3">
        <v>5.0000000000000002E-5</v>
      </c>
      <c r="N299" s="54">
        <v>41</v>
      </c>
      <c r="O299" s="1" t="s">
        <v>278</v>
      </c>
      <c r="P299" s="1">
        <v>2010</v>
      </c>
      <c r="Q299" s="13" t="s">
        <v>345</v>
      </c>
    </row>
    <row r="300" spans="1:17" x14ac:dyDescent="0.15">
      <c r="A300" s="3">
        <v>250</v>
      </c>
      <c r="B300" s="42" t="s">
        <v>76</v>
      </c>
      <c r="D300" s="2" t="s">
        <v>15</v>
      </c>
      <c r="E300" s="6">
        <v>5.5</v>
      </c>
      <c r="F300" s="46">
        <v>0.2</v>
      </c>
      <c r="G300" s="12">
        <v>7</v>
      </c>
      <c r="H300" s="3">
        <v>25</v>
      </c>
      <c r="I300" s="13" t="s">
        <v>452</v>
      </c>
      <c r="J300" s="2" t="s">
        <v>185</v>
      </c>
      <c r="K300" s="1" t="s">
        <v>133</v>
      </c>
      <c r="L300" s="3" t="s">
        <v>456</v>
      </c>
      <c r="M300" s="3" t="s">
        <v>453</v>
      </c>
      <c r="N300" s="54">
        <v>67</v>
      </c>
      <c r="O300" s="1" t="s">
        <v>449</v>
      </c>
      <c r="P300" s="1">
        <v>2018</v>
      </c>
      <c r="Q300" s="13" t="s">
        <v>448</v>
      </c>
    </row>
    <row r="301" spans="1:17" x14ac:dyDescent="0.15">
      <c r="A301" s="3">
        <v>280</v>
      </c>
      <c r="B301" s="42" t="s">
        <v>76</v>
      </c>
      <c r="D301" s="2" t="s">
        <v>15</v>
      </c>
      <c r="E301" s="6">
        <v>6.14</v>
      </c>
      <c r="F301" s="46">
        <f>0.05*E301</f>
        <v>0.307</v>
      </c>
      <c r="G301" s="12">
        <v>7</v>
      </c>
      <c r="H301" s="3">
        <v>23</v>
      </c>
      <c r="I301" s="13" t="s">
        <v>289</v>
      </c>
      <c r="J301" s="2" t="s">
        <v>185</v>
      </c>
      <c r="K301" s="1" t="s">
        <v>133</v>
      </c>
      <c r="L301" s="3" t="s">
        <v>75</v>
      </c>
      <c r="M301" s="3" t="s">
        <v>75</v>
      </c>
      <c r="N301" s="54">
        <v>37</v>
      </c>
      <c r="O301" s="1" t="s">
        <v>285</v>
      </c>
      <c r="P301" s="1">
        <v>2009</v>
      </c>
      <c r="Q301" s="13" t="s">
        <v>284</v>
      </c>
    </row>
    <row r="302" spans="1:17" x14ac:dyDescent="0.15">
      <c r="A302" s="3">
        <v>298</v>
      </c>
      <c r="B302" s="42" t="s">
        <v>76</v>
      </c>
      <c r="D302" s="2" t="s">
        <v>15</v>
      </c>
      <c r="E302" s="6">
        <v>6.67</v>
      </c>
      <c r="F302" s="46"/>
      <c r="G302" s="12">
        <v>7</v>
      </c>
      <c r="H302" s="3">
        <v>25</v>
      </c>
      <c r="I302" s="13" t="s">
        <v>368</v>
      </c>
      <c r="J302" s="2" t="s">
        <v>185</v>
      </c>
      <c r="K302" s="1" t="s">
        <v>133</v>
      </c>
      <c r="L302" s="3">
        <v>10</v>
      </c>
      <c r="M302" s="3">
        <v>5.0000000000000002E-5</v>
      </c>
      <c r="N302" s="54">
        <v>47</v>
      </c>
      <c r="O302" s="1" t="s">
        <v>364</v>
      </c>
      <c r="P302" s="1">
        <v>2012</v>
      </c>
      <c r="Q302" s="13" t="s">
        <v>363</v>
      </c>
    </row>
    <row r="303" spans="1:17" x14ac:dyDescent="0.15">
      <c r="A303" s="3">
        <v>299</v>
      </c>
      <c r="B303" s="42" t="s">
        <v>76</v>
      </c>
      <c r="C303" s="3">
        <v>184.2</v>
      </c>
      <c r="D303" s="2" t="s">
        <v>15</v>
      </c>
      <c r="E303" s="8">
        <v>21.7</v>
      </c>
      <c r="F303" s="46"/>
      <c r="G303" s="12">
        <v>7.5</v>
      </c>
      <c r="H303" s="3">
        <v>25</v>
      </c>
      <c r="I303" s="13" t="s">
        <v>401</v>
      </c>
      <c r="J303" s="2" t="s">
        <v>185</v>
      </c>
      <c r="K303" s="1" t="s">
        <v>133</v>
      </c>
      <c r="L303" s="3">
        <v>18.100000000000001</v>
      </c>
      <c r="M303" s="3">
        <v>1.8100000000000001E-4</v>
      </c>
      <c r="N303" s="54">
        <v>53</v>
      </c>
      <c r="O303" s="1" t="s">
        <v>392</v>
      </c>
      <c r="P303" s="1">
        <v>2013</v>
      </c>
      <c r="Q303" s="13" t="s">
        <v>394</v>
      </c>
    </row>
    <row r="304" spans="1:17" x14ac:dyDescent="0.15">
      <c r="A304" s="3">
        <v>317</v>
      </c>
      <c r="B304" s="42" t="s">
        <v>76</v>
      </c>
      <c r="C304" s="3">
        <v>184.3</v>
      </c>
      <c r="D304" s="2" t="s">
        <v>15</v>
      </c>
      <c r="E304" s="8">
        <f>0.027/60/(0.002/158)</f>
        <v>35.549999999999997</v>
      </c>
      <c r="F304" s="48"/>
      <c r="G304" s="12">
        <v>7.2</v>
      </c>
      <c r="H304" s="3">
        <v>16</v>
      </c>
      <c r="I304" s="13" t="s">
        <v>178</v>
      </c>
      <c r="J304" s="2" t="s">
        <v>136</v>
      </c>
      <c r="K304" s="1" t="s">
        <v>133</v>
      </c>
      <c r="L304" s="5">
        <f>13/(100/94)</f>
        <v>12.22</v>
      </c>
      <c r="M304" s="3">
        <v>1.2999999999999999E-5</v>
      </c>
      <c r="N304" s="54">
        <v>25</v>
      </c>
      <c r="O304" s="1" t="s">
        <v>177</v>
      </c>
      <c r="P304" s="1">
        <v>2003</v>
      </c>
      <c r="Q304" s="13" t="s">
        <v>176</v>
      </c>
    </row>
    <row r="305" spans="1:17" x14ac:dyDescent="0.15">
      <c r="A305" s="3">
        <v>364</v>
      </c>
      <c r="B305" s="42" t="s">
        <v>76</v>
      </c>
      <c r="C305" s="3">
        <v>184.1</v>
      </c>
      <c r="D305" s="2" t="s">
        <v>15</v>
      </c>
      <c r="E305" s="8">
        <f>AVERAGE(E295:E297)</f>
        <v>1.5633333333333335</v>
      </c>
      <c r="F305" s="48">
        <f>SQRT(F295^2+F296^2+F297^2)</f>
        <v>0.50635955604688643</v>
      </c>
      <c r="G305" s="12">
        <v>5.6</v>
      </c>
      <c r="H305" s="3">
        <v>23</v>
      </c>
      <c r="I305" s="13" t="s">
        <v>148</v>
      </c>
      <c r="J305" s="2"/>
      <c r="L305" s="5"/>
      <c r="M305" s="3"/>
      <c r="N305" s="54" t="s">
        <v>783</v>
      </c>
      <c r="Q305" s="13"/>
    </row>
    <row r="306" spans="1:17" x14ac:dyDescent="0.15">
      <c r="A306" s="3">
        <v>365</v>
      </c>
      <c r="B306" s="42" t="s">
        <v>76</v>
      </c>
      <c r="C306" s="3">
        <v>184</v>
      </c>
      <c r="D306" s="2" t="s">
        <v>15</v>
      </c>
      <c r="E306" s="6">
        <f>AVERAGE(E298:E302)</f>
        <v>5.4620000000000006</v>
      </c>
      <c r="F306" s="46">
        <f>STDEV(E298:E302)</f>
        <v>0.97356047577949312</v>
      </c>
      <c r="G306" s="12">
        <v>7</v>
      </c>
      <c r="H306" s="5" t="s">
        <v>722</v>
      </c>
      <c r="I306" s="13" t="s">
        <v>782</v>
      </c>
      <c r="J306" s="2"/>
      <c r="L306" s="3"/>
      <c r="M306" s="3"/>
      <c r="N306" s="54" t="s">
        <v>784</v>
      </c>
      <c r="Q306" s="13"/>
    </row>
    <row r="307" spans="1:17" x14ac:dyDescent="0.15">
      <c r="A307" s="3">
        <v>43</v>
      </c>
      <c r="B307" s="42" t="s">
        <v>30</v>
      </c>
      <c r="C307" s="3">
        <v>185</v>
      </c>
      <c r="D307" s="2" t="s">
        <v>654</v>
      </c>
      <c r="E307" s="8">
        <v>11.6</v>
      </c>
      <c r="F307" s="48">
        <f>0.05*E307</f>
        <v>0.57999999999999996</v>
      </c>
      <c r="G307" s="12">
        <v>3.77</v>
      </c>
      <c r="H307" s="3">
        <v>25</v>
      </c>
      <c r="I307" s="13" t="s">
        <v>647</v>
      </c>
      <c r="J307" s="2" t="s">
        <v>23</v>
      </c>
      <c r="K307" s="1" t="s">
        <v>24</v>
      </c>
      <c r="L307" s="3" t="s">
        <v>97</v>
      </c>
      <c r="M307" s="3" t="s">
        <v>99</v>
      </c>
      <c r="N307" s="54">
        <v>9</v>
      </c>
      <c r="O307" s="1" t="s">
        <v>77</v>
      </c>
      <c r="P307" s="1">
        <v>1977</v>
      </c>
      <c r="Q307" s="13" t="s">
        <v>96</v>
      </c>
    </row>
    <row r="308" spans="1:17" x14ac:dyDescent="0.15">
      <c r="A308" s="3">
        <v>204</v>
      </c>
      <c r="B308" s="42" t="s">
        <v>188</v>
      </c>
      <c r="C308" s="3">
        <v>186</v>
      </c>
      <c r="D308" s="2" t="s">
        <v>336</v>
      </c>
      <c r="E308" s="6">
        <v>0.4</v>
      </c>
      <c r="F308" s="46">
        <f>0.02/0.1*E308</f>
        <v>0.08</v>
      </c>
      <c r="G308" s="12">
        <v>7</v>
      </c>
      <c r="H308" s="3" t="s">
        <v>75</v>
      </c>
      <c r="I308" s="13" t="s">
        <v>112</v>
      </c>
      <c r="J308" s="2" t="s">
        <v>23</v>
      </c>
      <c r="K308" s="1" t="s">
        <v>24</v>
      </c>
      <c r="L308" s="3">
        <v>5</v>
      </c>
      <c r="M308" s="3">
        <v>2.5000000000000001E-4</v>
      </c>
      <c r="N308" s="54">
        <v>40</v>
      </c>
      <c r="O308" s="1" t="s">
        <v>306</v>
      </c>
      <c r="P308" s="1">
        <v>2010</v>
      </c>
      <c r="Q308" s="13" t="s">
        <v>305</v>
      </c>
    </row>
    <row r="309" spans="1:17" x14ac:dyDescent="0.15">
      <c r="A309" s="3">
        <v>246</v>
      </c>
      <c r="B309" s="42" t="s">
        <v>188</v>
      </c>
      <c r="C309" s="3">
        <v>187</v>
      </c>
      <c r="D309" s="2" t="s">
        <v>385</v>
      </c>
      <c r="E309" s="8">
        <v>28</v>
      </c>
      <c r="F309" s="48">
        <v>2</v>
      </c>
      <c r="G309" s="12">
        <v>6</v>
      </c>
      <c r="H309" s="3">
        <v>22</v>
      </c>
      <c r="I309" s="13" t="s">
        <v>112</v>
      </c>
      <c r="J309" s="2" t="s">
        <v>386</v>
      </c>
      <c r="K309" s="1" t="s">
        <v>133</v>
      </c>
      <c r="L309" s="3" t="s">
        <v>688</v>
      </c>
      <c r="M309" s="108" t="s">
        <v>387</v>
      </c>
      <c r="N309" s="54">
        <v>50</v>
      </c>
      <c r="O309" s="1" t="s">
        <v>381</v>
      </c>
      <c r="P309" s="1">
        <v>2013</v>
      </c>
      <c r="Q309" s="13" t="s">
        <v>380</v>
      </c>
    </row>
    <row r="310" spans="1:17" x14ac:dyDescent="0.15">
      <c r="A310" s="3">
        <v>29</v>
      </c>
      <c r="B310" s="42" t="s">
        <v>30</v>
      </c>
      <c r="C310" s="3">
        <v>188</v>
      </c>
      <c r="D310" s="2" t="s">
        <v>86</v>
      </c>
      <c r="E310" s="8">
        <v>10</v>
      </c>
      <c r="F310" s="48">
        <v>0.2</v>
      </c>
      <c r="G310" s="12" t="s">
        <v>85</v>
      </c>
      <c r="H310" s="3">
        <v>25</v>
      </c>
      <c r="I310" s="13" t="s">
        <v>647</v>
      </c>
      <c r="J310" s="2" t="s">
        <v>23</v>
      </c>
      <c r="K310" s="1" t="s">
        <v>24</v>
      </c>
      <c r="L310" s="3">
        <v>10</v>
      </c>
      <c r="M310" s="4">
        <v>1.4999999999999999E-2</v>
      </c>
      <c r="N310" s="29">
        <v>6</v>
      </c>
      <c r="O310" s="1" t="s">
        <v>77</v>
      </c>
      <c r="P310" s="1">
        <v>1973</v>
      </c>
      <c r="Q310" s="13" t="s">
        <v>84</v>
      </c>
    </row>
    <row r="311" spans="1:17" x14ac:dyDescent="0.15">
      <c r="A311" s="3">
        <v>32</v>
      </c>
      <c r="B311" s="42" t="s">
        <v>30</v>
      </c>
      <c r="C311" s="3">
        <v>189</v>
      </c>
      <c r="D311" s="2" t="s">
        <v>89</v>
      </c>
      <c r="E311" s="8">
        <v>11.5</v>
      </c>
      <c r="F311" s="48"/>
      <c r="G311" s="12">
        <v>1</v>
      </c>
      <c r="H311" s="3">
        <v>25</v>
      </c>
      <c r="I311" s="13" t="s">
        <v>648</v>
      </c>
      <c r="J311" s="2" t="s">
        <v>23</v>
      </c>
      <c r="K311" s="1" t="s">
        <v>24</v>
      </c>
      <c r="L311" s="3">
        <v>10</v>
      </c>
      <c r="M311" s="4">
        <v>1.4999999999999999E-2</v>
      </c>
      <c r="N311" s="29">
        <v>6</v>
      </c>
      <c r="O311" s="1" t="s">
        <v>77</v>
      </c>
      <c r="P311" s="1">
        <v>1973</v>
      </c>
      <c r="Q311" s="13" t="s">
        <v>84</v>
      </c>
    </row>
    <row r="312" spans="1:17" x14ac:dyDescent="0.15">
      <c r="A312" s="3">
        <v>31</v>
      </c>
      <c r="B312" s="42" t="s">
        <v>30</v>
      </c>
      <c r="C312" s="3">
        <v>190</v>
      </c>
      <c r="D312" s="2" t="s">
        <v>88</v>
      </c>
      <c r="E312" s="8">
        <v>11.5</v>
      </c>
      <c r="F312" s="48"/>
      <c r="G312" s="12">
        <v>1</v>
      </c>
      <c r="H312" s="3">
        <v>25</v>
      </c>
      <c r="I312" s="13" t="s">
        <v>648</v>
      </c>
      <c r="J312" s="2" t="s">
        <v>23</v>
      </c>
      <c r="K312" s="1" t="s">
        <v>24</v>
      </c>
      <c r="L312" s="3">
        <v>10</v>
      </c>
      <c r="M312" s="4">
        <v>1.4999999999999999E-2</v>
      </c>
      <c r="N312" s="29">
        <v>6</v>
      </c>
      <c r="O312" s="1" t="s">
        <v>77</v>
      </c>
      <c r="P312" s="1">
        <v>1973</v>
      </c>
      <c r="Q312" s="13" t="s">
        <v>84</v>
      </c>
    </row>
    <row r="313" spans="1:17" x14ac:dyDescent="0.15">
      <c r="A313" s="3">
        <v>42</v>
      </c>
      <c r="B313" s="42" t="s">
        <v>30</v>
      </c>
      <c r="C313" s="3">
        <v>191</v>
      </c>
      <c r="D313" s="2" t="s">
        <v>653</v>
      </c>
      <c r="E313" s="8">
        <v>43.2</v>
      </c>
      <c r="F313" s="48">
        <f>0.05*E313</f>
        <v>2.16</v>
      </c>
      <c r="G313" s="12">
        <v>3.77</v>
      </c>
      <c r="H313" s="3">
        <v>25</v>
      </c>
      <c r="I313" s="13" t="s">
        <v>647</v>
      </c>
      <c r="J313" s="2" t="s">
        <v>23</v>
      </c>
      <c r="K313" s="1" t="s">
        <v>24</v>
      </c>
      <c r="L313" s="3" t="s">
        <v>655</v>
      </c>
      <c r="M313" s="3" t="s">
        <v>98</v>
      </c>
      <c r="N313" s="54">
        <v>9</v>
      </c>
      <c r="O313" s="1" t="s">
        <v>77</v>
      </c>
      <c r="P313" s="1">
        <v>1977</v>
      </c>
      <c r="Q313" s="13" t="s">
        <v>96</v>
      </c>
    </row>
    <row r="314" spans="1:17" x14ac:dyDescent="0.15">
      <c r="A314" s="3">
        <v>115</v>
      </c>
      <c r="B314" s="42" t="s">
        <v>76</v>
      </c>
      <c r="C314" s="3">
        <v>192</v>
      </c>
      <c r="D314" s="2" t="s">
        <v>198</v>
      </c>
      <c r="E314" s="6">
        <v>1.7</v>
      </c>
      <c r="F314" s="46">
        <v>0.6</v>
      </c>
      <c r="G314" s="12">
        <v>5.6</v>
      </c>
      <c r="H314" s="3">
        <v>21</v>
      </c>
      <c r="I314" s="13" t="s">
        <v>148</v>
      </c>
      <c r="J314" s="2" t="s">
        <v>164</v>
      </c>
      <c r="K314" s="1" t="s">
        <v>133</v>
      </c>
      <c r="L314" s="3" t="s">
        <v>585</v>
      </c>
      <c r="M314" s="3" t="s">
        <v>210</v>
      </c>
      <c r="N314" s="54">
        <v>28</v>
      </c>
      <c r="O314" s="1" t="s">
        <v>193</v>
      </c>
      <c r="P314" s="1">
        <v>2004</v>
      </c>
      <c r="Q314" s="13" t="s">
        <v>194</v>
      </c>
    </row>
    <row r="315" spans="1:17" x14ac:dyDescent="0.15">
      <c r="A315" s="3">
        <v>3</v>
      </c>
      <c r="B315" s="42" t="s">
        <v>30</v>
      </c>
      <c r="C315" s="3">
        <v>193</v>
      </c>
      <c r="D315" s="2" t="s">
        <v>26</v>
      </c>
      <c r="E315" s="5">
        <f>AVERAGE(640,644,662)</f>
        <v>648.66666666666663</v>
      </c>
      <c r="F315" s="9"/>
      <c r="G315" s="12">
        <v>13</v>
      </c>
      <c r="H315" s="3">
        <v>25</v>
      </c>
      <c r="I315" s="13" t="s">
        <v>22</v>
      </c>
      <c r="J315" s="2" t="s">
        <v>23</v>
      </c>
      <c r="K315" s="1" t="s">
        <v>24</v>
      </c>
      <c r="L315" s="3" t="s">
        <v>596</v>
      </c>
      <c r="M315" s="3" t="s">
        <v>28</v>
      </c>
      <c r="N315" s="54">
        <v>1</v>
      </c>
      <c r="O315" s="1" t="s">
        <v>19</v>
      </c>
      <c r="P315" s="1">
        <v>1965</v>
      </c>
      <c r="Q315" s="13" t="s">
        <v>20</v>
      </c>
    </row>
    <row r="316" spans="1:17" x14ac:dyDescent="0.15">
      <c r="A316" s="3">
        <v>4</v>
      </c>
      <c r="B316" s="42" t="s">
        <v>30</v>
      </c>
      <c r="C316" s="3">
        <v>194</v>
      </c>
      <c r="D316" s="2" t="s">
        <v>632</v>
      </c>
      <c r="E316" s="5">
        <v>275</v>
      </c>
      <c r="F316" s="9"/>
      <c r="G316" s="12">
        <v>13</v>
      </c>
      <c r="H316" s="3">
        <v>25</v>
      </c>
      <c r="I316" s="13" t="s">
        <v>22</v>
      </c>
      <c r="J316" s="2" t="s">
        <v>23</v>
      </c>
      <c r="K316" s="1" t="s">
        <v>24</v>
      </c>
      <c r="L316" s="3" t="s">
        <v>597</v>
      </c>
      <c r="M316" s="3" t="s">
        <v>630</v>
      </c>
      <c r="N316" s="54">
        <v>1</v>
      </c>
      <c r="O316" s="1" t="s">
        <v>19</v>
      </c>
      <c r="P316" s="1">
        <v>1965</v>
      </c>
      <c r="Q316" s="13" t="s">
        <v>20</v>
      </c>
    </row>
    <row r="317" spans="1:17" x14ac:dyDescent="0.15">
      <c r="A317" s="3">
        <v>290</v>
      </c>
      <c r="B317" s="42" t="s">
        <v>188</v>
      </c>
      <c r="C317" s="3">
        <v>195</v>
      </c>
      <c r="D317" s="2" t="s">
        <v>695</v>
      </c>
      <c r="E317" s="4">
        <v>3.47E-3</v>
      </c>
      <c r="F317" s="47"/>
      <c r="G317" s="12" t="s">
        <v>693</v>
      </c>
      <c r="H317" s="3">
        <v>25</v>
      </c>
      <c r="I317" s="13" t="s">
        <v>694</v>
      </c>
      <c r="J317" s="2" t="s">
        <v>185</v>
      </c>
      <c r="K317" s="1" t="s">
        <v>133</v>
      </c>
      <c r="L317" s="3" t="s">
        <v>696</v>
      </c>
      <c r="M317" s="3">
        <v>0.01</v>
      </c>
      <c r="N317" s="54">
        <v>70</v>
      </c>
      <c r="O317" s="1" t="s">
        <v>461</v>
      </c>
      <c r="P317" s="1">
        <v>2018</v>
      </c>
      <c r="Q317" s="13" t="s">
        <v>460</v>
      </c>
    </row>
    <row r="318" spans="1:17" x14ac:dyDescent="0.15">
      <c r="A318" s="3">
        <v>183</v>
      </c>
      <c r="B318" s="42" t="s">
        <v>188</v>
      </c>
      <c r="C318" s="3">
        <v>196</v>
      </c>
      <c r="D318" s="2" t="s">
        <v>316</v>
      </c>
      <c r="E318" s="8">
        <v>28.52</v>
      </c>
      <c r="F318" s="48">
        <f>0.06/7.13*E318</f>
        <v>0.24</v>
      </c>
      <c r="G318" s="12">
        <v>7</v>
      </c>
      <c r="H318" s="3" t="s">
        <v>75</v>
      </c>
      <c r="I318" s="13" t="s">
        <v>112</v>
      </c>
      <c r="J318" s="2" t="s">
        <v>23</v>
      </c>
      <c r="K318" s="1" t="s">
        <v>24</v>
      </c>
      <c r="L318" s="3">
        <v>5</v>
      </c>
      <c r="M318" s="3">
        <v>2.5000000000000001E-4</v>
      </c>
      <c r="N318" s="54">
        <v>40</v>
      </c>
      <c r="O318" s="1" t="s">
        <v>306</v>
      </c>
      <c r="P318" s="1">
        <v>2010</v>
      </c>
      <c r="Q318" s="13" t="s">
        <v>305</v>
      </c>
    </row>
    <row r="319" spans="1:17" x14ac:dyDescent="0.15">
      <c r="A319" s="3">
        <v>263</v>
      </c>
      <c r="B319" s="42" t="s">
        <v>188</v>
      </c>
      <c r="C319" s="3">
        <v>197</v>
      </c>
      <c r="D319" s="2" t="s">
        <v>424</v>
      </c>
      <c r="E319" s="5">
        <f>AVERAGE(308,268,273)</f>
        <v>283</v>
      </c>
      <c r="F319" s="46"/>
      <c r="G319" s="12">
        <v>7</v>
      </c>
      <c r="H319" s="3">
        <v>20</v>
      </c>
      <c r="I319" s="13" t="s">
        <v>689</v>
      </c>
      <c r="J319" s="2" t="s">
        <v>298</v>
      </c>
      <c r="K319" s="1" t="s">
        <v>133</v>
      </c>
      <c r="L319" s="8">
        <f>M319/(0.0002/239.2)</f>
        <v>8.3719999999999981</v>
      </c>
      <c r="M319" s="3">
        <v>6.9999999999999999E-6</v>
      </c>
      <c r="N319" s="54">
        <v>59</v>
      </c>
      <c r="O319" s="1" t="s">
        <v>388</v>
      </c>
      <c r="P319" s="1">
        <v>2015</v>
      </c>
      <c r="Q319" s="13" t="s">
        <v>423</v>
      </c>
    </row>
    <row r="320" spans="1:17" x14ac:dyDescent="0.15">
      <c r="A320" s="3">
        <v>208</v>
      </c>
      <c r="B320" s="42" t="s">
        <v>188</v>
      </c>
      <c r="C320" s="3">
        <v>198</v>
      </c>
      <c r="D320" s="2" t="s">
        <v>340</v>
      </c>
      <c r="E320" s="7">
        <v>0.03</v>
      </c>
      <c r="F320" s="45">
        <f>1.76/6.86*E320</f>
        <v>7.6967930029154513E-3</v>
      </c>
      <c r="G320" s="12">
        <v>7</v>
      </c>
      <c r="H320" s="3" t="s">
        <v>75</v>
      </c>
      <c r="I320" s="13" t="s">
        <v>112</v>
      </c>
      <c r="J320" s="2" t="s">
        <v>23</v>
      </c>
      <c r="K320" s="1" t="s">
        <v>24</v>
      </c>
      <c r="L320" s="3">
        <v>5</v>
      </c>
      <c r="M320" s="3">
        <v>2.5000000000000001E-4</v>
      </c>
      <c r="N320" s="54">
        <v>40</v>
      </c>
      <c r="O320" s="1" t="s">
        <v>306</v>
      </c>
      <c r="P320" s="1">
        <v>2010</v>
      </c>
      <c r="Q320" s="13" t="s">
        <v>305</v>
      </c>
    </row>
    <row r="321" spans="1:17" x14ac:dyDescent="0.15">
      <c r="A321" s="3">
        <v>156</v>
      </c>
      <c r="B321" s="42" t="s">
        <v>30</v>
      </c>
      <c r="C321" s="3">
        <v>199</v>
      </c>
      <c r="D321" s="2" t="s">
        <v>890</v>
      </c>
      <c r="E321" s="5">
        <v>455.8</v>
      </c>
      <c r="F321" s="9">
        <v>4.3</v>
      </c>
      <c r="G321" s="12">
        <v>7</v>
      </c>
      <c r="H321" s="3">
        <v>20</v>
      </c>
      <c r="I321" s="13" t="s">
        <v>262</v>
      </c>
      <c r="J321" s="2" t="s">
        <v>185</v>
      </c>
      <c r="K321" s="1" t="s">
        <v>133</v>
      </c>
      <c r="L321" s="3" t="s">
        <v>268</v>
      </c>
      <c r="M321" s="3" t="s">
        <v>267</v>
      </c>
      <c r="N321" s="54">
        <v>32</v>
      </c>
      <c r="O321" s="1" t="s">
        <v>260</v>
      </c>
      <c r="P321" s="1">
        <v>2007</v>
      </c>
      <c r="Q321" s="13" t="s">
        <v>259</v>
      </c>
    </row>
    <row r="322" spans="1:17" x14ac:dyDescent="0.15">
      <c r="A322" s="3">
        <v>292</v>
      </c>
      <c r="B322" s="42" t="s">
        <v>188</v>
      </c>
      <c r="C322" s="3">
        <v>200</v>
      </c>
      <c r="D322" s="2" t="s">
        <v>466</v>
      </c>
      <c r="E322" s="6">
        <f>0.0268/60*1000</f>
        <v>0.44666666666666666</v>
      </c>
      <c r="F322" s="46"/>
      <c r="G322" s="12">
        <v>5.76</v>
      </c>
      <c r="H322" s="3">
        <v>25</v>
      </c>
      <c r="I322" s="13" t="s">
        <v>393</v>
      </c>
      <c r="J322" s="2" t="s">
        <v>185</v>
      </c>
      <c r="K322" s="1" t="s">
        <v>133</v>
      </c>
      <c r="L322" s="3" t="s">
        <v>467</v>
      </c>
      <c r="M322" s="3" t="s">
        <v>468</v>
      </c>
      <c r="N322" s="54">
        <v>72</v>
      </c>
      <c r="O322" s="1" t="s">
        <v>392</v>
      </c>
      <c r="P322" s="1">
        <v>2018</v>
      </c>
      <c r="Q322" s="13" t="s">
        <v>465</v>
      </c>
    </row>
    <row r="323" spans="1:17" x14ac:dyDescent="0.15">
      <c r="A323" s="3">
        <v>193</v>
      </c>
      <c r="B323" s="42" t="s">
        <v>188</v>
      </c>
      <c r="C323" s="3">
        <v>201</v>
      </c>
      <c r="D323" s="2" t="s">
        <v>325</v>
      </c>
      <c r="E323" s="6">
        <v>1.2</v>
      </c>
      <c r="F323" s="46">
        <f>0.05/0.3*E323</f>
        <v>0.2</v>
      </c>
      <c r="G323" s="12">
        <v>7</v>
      </c>
      <c r="H323" s="3" t="s">
        <v>75</v>
      </c>
      <c r="I323" s="13" t="s">
        <v>112</v>
      </c>
      <c r="J323" s="2" t="s">
        <v>23</v>
      </c>
      <c r="K323" s="1" t="s">
        <v>24</v>
      </c>
      <c r="L323" s="3">
        <v>5</v>
      </c>
      <c r="M323" s="3">
        <v>2.5000000000000001E-4</v>
      </c>
      <c r="N323" s="54">
        <v>40</v>
      </c>
      <c r="O323" s="1" t="s">
        <v>306</v>
      </c>
      <c r="P323" s="1">
        <v>2010</v>
      </c>
      <c r="Q323" s="13" t="s">
        <v>305</v>
      </c>
    </row>
    <row r="324" spans="1:17" x14ac:dyDescent="0.15">
      <c r="A324" s="3">
        <v>203</v>
      </c>
      <c r="B324" s="42" t="s">
        <v>188</v>
      </c>
      <c r="C324" s="3">
        <v>202</v>
      </c>
      <c r="D324" s="2" t="s">
        <v>335</v>
      </c>
      <c r="E324" s="6">
        <v>0.48</v>
      </c>
      <c r="F324" s="46">
        <v>0</v>
      </c>
      <c r="G324" s="12">
        <v>7</v>
      </c>
      <c r="H324" s="3" t="s">
        <v>75</v>
      </c>
      <c r="I324" s="13" t="s">
        <v>112</v>
      </c>
      <c r="J324" s="2" t="s">
        <v>23</v>
      </c>
      <c r="K324" s="1" t="s">
        <v>24</v>
      </c>
      <c r="L324" s="3">
        <v>5</v>
      </c>
      <c r="M324" s="3">
        <v>2.5000000000000001E-4</v>
      </c>
      <c r="N324" s="54">
        <v>40</v>
      </c>
      <c r="O324" s="1" t="s">
        <v>306</v>
      </c>
      <c r="P324" s="1">
        <v>2010</v>
      </c>
      <c r="Q324" s="13" t="s">
        <v>305</v>
      </c>
    </row>
    <row r="325" spans="1:17" x14ac:dyDescent="0.15">
      <c r="A325" s="3">
        <v>137</v>
      </c>
      <c r="B325" s="42" t="s">
        <v>76</v>
      </c>
      <c r="C325" s="3">
        <v>203</v>
      </c>
      <c r="D325" s="2" t="s">
        <v>237</v>
      </c>
      <c r="E325" s="4">
        <f>AVERAGE(0.000388,0.000278)</f>
        <v>3.3299999999999996E-4</v>
      </c>
      <c r="F325" s="47">
        <f>STDEV(0.000388,0.000278)</f>
        <v>7.7781745930520239E-5</v>
      </c>
      <c r="G325" s="29">
        <v>7</v>
      </c>
      <c r="H325" s="5">
        <v>25</v>
      </c>
      <c r="I325" s="30" t="s">
        <v>227</v>
      </c>
      <c r="J325" s="2" t="s">
        <v>23</v>
      </c>
      <c r="K325" s="1" t="s">
        <v>24</v>
      </c>
      <c r="L325" s="3" t="s">
        <v>239</v>
      </c>
      <c r="M325" s="3" t="s">
        <v>238</v>
      </c>
      <c r="N325" s="54">
        <v>31</v>
      </c>
      <c r="O325" s="1" t="s">
        <v>222</v>
      </c>
      <c r="P325" s="1">
        <v>2006</v>
      </c>
      <c r="Q325" s="13" t="s">
        <v>223</v>
      </c>
    </row>
    <row r="326" spans="1:17" x14ac:dyDescent="0.15">
      <c r="A326" s="3">
        <v>125</v>
      </c>
      <c r="B326" s="42" t="s">
        <v>76</v>
      </c>
      <c r="C326" s="3">
        <v>204</v>
      </c>
      <c r="D326" s="2" t="s">
        <v>202</v>
      </c>
      <c r="E326" s="3" t="s">
        <v>215</v>
      </c>
      <c r="F326" s="24"/>
      <c r="G326" s="12">
        <v>5.6</v>
      </c>
      <c r="H326" s="3">
        <v>21</v>
      </c>
      <c r="I326" s="13" t="s">
        <v>148</v>
      </c>
      <c r="J326" s="2" t="s">
        <v>164</v>
      </c>
      <c r="K326" s="1" t="s">
        <v>133</v>
      </c>
      <c r="L326" s="3" t="s">
        <v>593</v>
      </c>
      <c r="M326" s="3" t="s">
        <v>211</v>
      </c>
      <c r="N326" s="54">
        <v>28</v>
      </c>
      <c r="O326" s="1" t="s">
        <v>193</v>
      </c>
      <c r="P326" s="1">
        <v>2004</v>
      </c>
      <c r="Q326" s="13" t="s">
        <v>194</v>
      </c>
    </row>
    <row r="327" spans="1:17" x14ac:dyDescent="0.15">
      <c r="A327" s="3">
        <v>260</v>
      </c>
      <c r="B327" s="42" t="s">
        <v>188</v>
      </c>
      <c r="C327" s="3">
        <v>205</v>
      </c>
      <c r="D327" s="2" t="s">
        <v>414</v>
      </c>
      <c r="E327" s="5">
        <v>460</v>
      </c>
      <c r="F327" s="9"/>
      <c r="G327" s="12">
        <v>7</v>
      </c>
      <c r="H327" s="3">
        <v>25</v>
      </c>
      <c r="I327" s="13" t="s">
        <v>401</v>
      </c>
      <c r="J327" s="2" t="s">
        <v>185</v>
      </c>
      <c r="K327" s="1" t="s">
        <v>133</v>
      </c>
      <c r="L327" s="3" t="s">
        <v>75</v>
      </c>
      <c r="M327" s="3" t="s">
        <v>416</v>
      </c>
      <c r="N327" s="54">
        <v>56</v>
      </c>
      <c r="O327" s="1" t="s">
        <v>413</v>
      </c>
      <c r="P327" s="1">
        <v>2014</v>
      </c>
      <c r="Q327" s="13" t="s">
        <v>412</v>
      </c>
    </row>
    <row r="328" spans="1:17" x14ac:dyDescent="0.15">
      <c r="A328" s="3">
        <v>73</v>
      </c>
      <c r="B328" s="42" t="s">
        <v>76</v>
      </c>
      <c r="C328" s="3">
        <v>206.1</v>
      </c>
      <c r="D328" s="2" t="s">
        <v>608</v>
      </c>
      <c r="E328" s="7">
        <v>8.3999999999999995E-3</v>
      </c>
      <c r="F328" s="47"/>
      <c r="G328" s="12">
        <v>8</v>
      </c>
      <c r="H328" s="3">
        <v>22</v>
      </c>
      <c r="I328" s="13" t="s">
        <v>135</v>
      </c>
      <c r="J328" s="2" t="s">
        <v>661</v>
      </c>
      <c r="K328" s="1" t="s">
        <v>133</v>
      </c>
      <c r="L328" s="3" t="s">
        <v>660</v>
      </c>
      <c r="M328" s="3" t="s">
        <v>134</v>
      </c>
      <c r="N328" s="54">
        <v>15</v>
      </c>
      <c r="O328" s="1" t="s">
        <v>131</v>
      </c>
      <c r="P328" s="1">
        <v>1998</v>
      </c>
      <c r="Q328" s="13" t="s">
        <v>132</v>
      </c>
    </row>
    <row r="329" spans="1:17" x14ac:dyDescent="0.15">
      <c r="A329" s="3">
        <v>79</v>
      </c>
      <c r="B329" s="42" t="s">
        <v>76</v>
      </c>
      <c r="D329" s="2" t="s">
        <v>608</v>
      </c>
      <c r="E329" s="7">
        <f>0.000045/0.001</f>
        <v>4.5000000000000005E-2</v>
      </c>
      <c r="F329" s="45">
        <f>0.03/0.45*E329</f>
        <v>3.0000000000000005E-3</v>
      </c>
      <c r="G329" s="12">
        <v>7.1</v>
      </c>
      <c r="H329" s="3">
        <v>21</v>
      </c>
      <c r="I329" s="13" t="s">
        <v>666</v>
      </c>
      <c r="J329" s="2" t="s">
        <v>142</v>
      </c>
      <c r="K329" s="1" t="s">
        <v>133</v>
      </c>
      <c r="L329" s="3" t="s">
        <v>165</v>
      </c>
      <c r="M329" s="3">
        <v>1E-3</v>
      </c>
      <c r="N329" s="54">
        <v>17</v>
      </c>
      <c r="O329" s="1" t="s">
        <v>138</v>
      </c>
      <c r="P329" s="1">
        <v>1999</v>
      </c>
      <c r="Q329" s="13" t="s">
        <v>144</v>
      </c>
    </row>
    <row r="330" spans="1:17" x14ac:dyDescent="0.15">
      <c r="A330" s="3">
        <v>81</v>
      </c>
      <c r="B330" s="42" t="s">
        <v>76</v>
      </c>
      <c r="D330" s="2" t="s">
        <v>608</v>
      </c>
      <c r="E330" s="7">
        <f>2.45/60</f>
        <v>4.083333333333334E-2</v>
      </c>
      <c r="F330" s="45">
        <f>0.65/2.45*E330</f>
        <v>1.0833333333333335E-2</v>
      </c>
      <c r="G330" s="12">
        <v>5.6</v>
      </c>
      <c r="H330" s="3">
        <v>21</v>
      </c>
      <c r="I330" s="13" t="s">
        <v>148</v>
      </c>
      <c r="J330" s="2" t="s">
        <v>667</v>
      </c>
      <c r="K330" s="1" t="s">
        <v>133</v>
      </c>
      <c r="L330" s="3" t="s">
        <v>150</v>
      </c>
      <c r="M330" s="3" t="s">
        <v>149</v>
      </c>
      <c r="N330" s="54">
        <v>18</v>
      </c>
      <c r="O330" s="1" t="s">
        <v>147</v>
      </c>
      <c r="P330" s="1">
        <v>2000</v>
      </c>
      <c r="Q330" s="13" t="s">
        <v>146</v>
      </c>
    </row>
    <row r="331" spans="1:17" x14ac:dyDescent="0.15">
      <c r="A331" s="3">
        <v>96</v>
      </c>
      <c r="B331" s="42" t="s">
        <v>76</v>
      </c>
      <c r="D331" s="2" t="s">
        <v>608</v>
      </c>
      <c r="E331" s="7">
        <v>3.5000000000000003E-2</v>
      </c>
      <c r="F331" s="45">
        <v>4.0000000000000001E-3</v>
      </c>
      <c r="G331" s="12">
        <v>7</v>
      </c>
      <c r="H331" s="3">
        <v>20</v>
      </c>
      <c r="I331" s="13" t="s">
        <v>112</v>
      </c>
      <c r="J331" s="2" t="s">
        <v>164</v>
      </c>
      <c r="K331" s="1" t="s">
        <v>133</v>
      </c>
      <c r="L331" s="3" t="s">
        <v>669</v>
      </c>
      <c r="M331" s="3" t="s">
        <v>601</v>
      </c>
      <c r="N331" s="54">
        <v>22</v>
      </c>
      <c r="O331" s="1" t="s">
        <v>163</v>
      </c>
      <c r="P331" s="1">
        <v>2001</v>
      </c>
      <c r="Q331" s="13" t="s">
        <v>162</v>
      </c>
    </row>
    <row r="332" spans="1:17" x14ac:dyDescent="0.15">
      <c r="A332" s="3">
        <v>102</v>
      </c>
      <c r="B332" s="42" t="s">
        <v>76</v>
      </c>
      <c r="D332" s="2" t="s">
        <v>608</v>
      </c>
      <c r="E332" s="7">
        <f>AVERAGE(0.00028/(1.46/158),0.00013/(0.45/158))</f>
        <v>3.7972907153729064E-2</v>
      </c>
      <c r="F332" s="45">
        <f>STDEV(0.00028/(1.46/158),0.00013/(0.45/158))</f>
        <v>1.0849192080780643E-2</v>
      </c>
      <c r="G332" s="12">
        <v>5.6</v>
      </c>
      <c r="H332" s="3">
        <v>23</v>
      </c>
      <c r="I332" s="13" t="s">
        <v>148</v>
      </c>
      <c r="J332" s="2" t="s">
        <v>173</v>
      </c>
      <c r="K332" s="1" t="s">
        <v>133</v>
      </c>
      <c r="L332" s="3" t="s">
        <v>676</v>
      </c>
      <c r="M332" s="3" t="s">
        <v>175</v>
      </c>
      <c r="N332" s="54">
        <v>24</v>
      </c>
      <c r="O332" s="1" t="s">
        <v>172</v>
      </c>
      <c r="P332" s="1">
        <v>2002</v>
      </c>
      <c r="Q332" s="13" t="s">
        <v>171</v>
      </c>
    </row>
    <row r="333" spans="1:17" x14ac:dyDescent="0.15">
      <c r="A333" s="3">
        <v>131</v>
      </c>
      <c r="B333" s="42" t="s">
        <v>76</v>
      </c>
      <c r="D333" s="38" t="s">
        <v>608</v>
      </c>
      <c r="E333" s="7">
        <f>AVERAGE(0.0458,0.0411)</f>
        <v>4.3450000000000003E-2</v>
      </c>
      <c r="F333" s="45">
        <f>STDEV(0.0458,0.0411)</f>
        <v>3.3234018715767753E-3</v>
      </c>
      <c r="G333" s="29">
        <v>7</v>
      </c>
      <c r="H333" s="5">
        <v>25</v>
      </c>
      <c r="I333" s="30" t="s">
        <v>112</v>
      </c>
      <c r="J333" s="2" t="s">
        <v>23</v>
      </c>
      <c r="K333" s="1" t="s">
        <v>24</v>
      </c>
      <c r="L333" s="3">
        <v>10</v>
      </c>
      <c r="M333" s="7">
        <v>1E-3</v>
      </c>
      <c r="N333" s="54">
        <v>31</v>
      </c>
      <c r="O333" s="1" t="s">
        <v>222</v>
      </c>
      <c r="P333" s="1">
        <v>2006</v>
      </c>
      <c r="Q333" s="13" t="s">
        <v>223</v>
      </c>
    </row>
    <row r="334" spans="1:17" x14ac:dyDescent="0.15">
      <c r="A334" s="3">
        <v>325</v>
      </c>
      <c r="B334" s="42" t="s">
        <v>76</v>
      </c>
      <c r="C334" s="3">
        <v>206.2</v>
      </c>
      <c r="D334" s="2" t="s">
        <v>608</v>
      </c>
      <c r="E334" s="7">
        <v>1.7000000000000001E-2</v>
      </c>
      <c r="F334" s="24">
        <v>2E-3</v>
      </c>
      <c r="G334" s="2">
        <v>10.6</v>
      </c>
      <c r="H334" s="3">
        <v>20</v>
      </c>
      <c r="I334" s="13" t="s">
        <v>704</v>
      </c>
      <c r="J334" s="2" t="s">
        <v>142</v>
      </c>
      <c r="K334" s="1" t="s">
        <v>133</v>
      </c>
      <c r="L334" s="3" t="s">
        <v>703</v>
      </c>
      <c r="M334" s="3" t="s">
        <v>702</v>
      </c>
      <c r="N334" s="54">
        <v>86</v>
      </c>
      <c r="O334" s="1" t="s">
        <v>605</v>
      </c>
      <c r="P334" s="1">
        <v>2002</v>
      </c>
      <c r="Q334" s="13" t="s">
        <v>606</v>
      </c>
    </row>
    <row r="335" spans="1:17" x14ac:dyDescent="0.15">
      <c r="A335" s="3">
        <v>366</v>
      </c>
      <c r="B335" s="42" t="s">
        <v>76</v>
      </c>
      <c r="C335" s="3">
        <v>206</v>
      </c>
      <c r="D335" s="2" t="s">
        <v>608</v>
      </c>
      <c r="E335" s="7">
        <f>AVERAGE(E329:E333)</f>
        <v>4.0451248097412483E-2</v>
      </c>
      <c r="F335" s="45">
        <f>SQRT(F329^2+F330^2+F331^2+F332^2+F333^2)</f>
        <v>1.6465451099705243E-2</v>
      </c>
      <c r="G335" s="2" t="s">
        <v>757</v>
      </c>
      <c r="H335" s="3" t="s">
        <v>756</v>
      </c>
      <c r="I335" s="13" t="s">
        <v>754</v>
      </c>
      <c r="J335" s="2"/>
      <c r="L335" s="3"/>
      <c r="M335" s="3"/>
      <c r="N335" s="54" t="s">
        <v>785</v>
      </c>
      <c r="Q335" s="13"/>
    </row>
    <row r="336" spans="1:17" x14ac:dyDescent="0.15">
      <c r="A336" s="3">
        <v>178</v>
      </c>
      <c r="B336" s="42" t="s">
        <v>188</v>
      </c>
      <c r="C336" s="3">
        <v>207</v>
      </c>
      <c r="D336" s="2" t="s">
        <v>311</v>
      </c>
      <c r="E336" s="8">
        <v>58</v>
      </c>
      <c r="F336" s="48">
        <f>0.77/14.5*E336</f>
        <v>3.08</v>
      </c>
      <c r="G336" s="12">
        <v>7</v>
      </c>
      <c r="H336" s="3" t="s">
        <v>75</v>
      </c>
      <c r="I336" s="13" t="s">
        <v>112</v>
      </c>
      <c r="J336" s="2" t="s">
        <v>23</v>
      </c>
      <c r="K336" s="1" t="s">
        <v>24</v>
      </c>
      <c r="L336" s="3">
        <v>5</v>
      </c>
      <c r="M336" s="3">
        <v>2.5000000000000001E-4</v>
      </c>
      <c r="N336" s="54">
        <v>40</v>
      </c>
      <c r="O336" s="1" t="s">
        <v>306</v>
      </c>
      <c r="P336" s="1">
        <v>2010</v>
      </c>
      <c r="Q336" s="13" t="s">
        <v>305</v>
      </c>
    </row>
    <row r="337" spans="1:17" x14ac:dyDescent="0.15">
      <c r="A337" s="3">
        <v>66</v>
      </c>
      <c r="B337" s="42" t="s">
        <v>76</v>
      </c>
      <c r="D337" s="2" t="s">
        <v>122</v>
      </c>
      <c r="E337" s="4">
        <f>0.0007</f>
        <v>6.9999999999999999E-4</v>
      </c>
      <c r="F337" s="47"/>
      <c r="G337" s="39" t="s">
        <v>123</v>
      </c>
      <c r="H337" s="3">
        <v>20</v>
      </c>
      <c r="I337" s="13" t="s">
        <v>659</v>
      </c>
      <c r="J337" s="2" t="s">
        <v>23</v>
      </c>
      <c r="K337" s="1" t="s">
        <v>24</v>
      </c>
      <c r="L337" s="3">
        <v>18</v>
      </c>
      <c r="M337" s="3">
        <v>6.8999999999999999E-3</v>
      </c>
      <c r="N337" s="54">
        <v>13</v>
      </c>
      <c r="O337" s="1" t="s">
        <v>120</v>
      </c>
      <c r="P337" s="1">
        <v>1995</v>
      </c>
      <c r="Q337" s="13" t="s">
        <v>121</v>
      </c>
    </row>
    <row r="338" spans="1:17" x14ac:dyDescent="0.15">
      <c r="A338" s="3">
        <v>67</v>
      </c>
      <c r="B338" s="42" t="s">
        <v>76</v>
      </c>
      <c r="D338" s="2" t="s">
        <v>122</v>
      </c>
      <c r="E338" s="4">
        <v>1.7000000000000001E-4</v>
      </c>
      <c r="F338" s="47"/>
      <c r="G338" s="12">
        <v>7</v>
      </c>
      <c r="H338" s="3">
        <v>25</v>
      </c>
      <c r="I338" s="13" t="s">
        <v>127</v>
      </c>
      <c r="J338" s="2" t="s">
        <v>23</v>
      </c>
      <c r="K338" s="1" t="s">
        <v>24</v>
      </c>
      <c r="L338" s="3">
        <v>10</v>
      </c>
      <c r="M338" s="3">
        <v>4.1099999999999999E-3</v>
      </c>
      <c r="N338" s="54">
        <v>14</v>
      </c>
      <c r="O338" s="1" t="s">
        <v>125</v>
      </c>
      <c r="P338" s="1">
        <v>1996</v>
      </c>
      <c r="Q338" s="13" t="s">
        <v>124</v>
      </c>
    </row>
    <row r="339" spans="1:17" x14ac:dyDescent="0.15">
      <c r="A339" s="3">
        <v>87</v>
      </c>
      <c r="B339" s="42" t="s">
        <v>76</v>
      </c>
      <c r="D339" s="2" t="s">
        <v>122</v>
      </c>
      <c r="E339" s="4">
        <f>0.00023</f>
        <v>2.3000000000000001E-4</v>
      </c>
      <c r="F339" s="47">
        <v>1.0000000000000001E-5</v>
      </c>
      <c r="G339" s="12" t="s">
        <v>664</v>
      </c>
      <c r="H339" s="3">
        <v>20</v>
      </c>
      <c r="I339" s="13" t="s">
        <v>160</v>
      </c>
      <c r="J339" s="2" t="s">
        <v>661</v>
      </c>
      <c r="K339" s="1" t="s">
        <v>133</v>
      </c>
      <c r="L339" s="3" t="s">
        <v>75</v>
      </c>
      <c r="M339" s="3" t="s">
        <v>75</v>
      </c>
      <c r="N339" s="54">
        <v>90</v>
      </c>
      <c r="O339" s="1" t="s">
        <v>663</v>
      </c>
      <c r="P339" s="1">
        <v>1996</v>
      </c>
      <c r="Q339" s="13" t="s">
        <v>662</v>
      </c>
    </row>
    <row r="340" spans="1:17" x14ac:dyDescent="0.15">
      <c r="A340" s="3">
        <v>116</v>
      </c>
      <c r="B340" s="42" t="s">
        <v>76</v>
      </c>
      <c r="D340" s="2" t="s">
        <v>122</v>
      </c>
      <c r="E340" s="4">
        <v>5.2999999999999998E-4</v>
      </c>
      <c r="F340" s="47">
        <v>5.0000000000000001E-4</v>
      </c>
      <c r="G340" s="12">
        <v>5.6</v>
      </c>
      <c r="H340" s="3">
        <v>21</v>
      </c>
      <c r="I340" s="13" t="s">
        <v>148</v>
      </c>
      <c r="J340" s="2" t="s">
        <v>164</v>
      </c>
      <c r="K340" s="1" t="s">
        <v>133</v>
      </c>
      <c r="L340" s="3" t="s">
        <v>586</v>
      </c>
      <c r="M340" s="3" t="s">
        <v>211</v>
      </c>
      <c r="N340" s="54">
        <v>28</v>
      </c>
      <c r="O340" s="1" t="s">
        <v>193</v>
      </c>
      <c r="P340" s="1">
        <v>2004</v>
      </c>
      <c r="Q340" s="13" t="s">
        <v>194</v>
      </c>
    </row>
    <row r="341" spans="1:17" x14ac:dyDescent="0.15">
      <c r="A341" s="3">
        <v>138</v>
      </c>
      <c r="B341" s="42" t="s">
        <v>76</v>
      </c>
      <c r="D341" s="2" t="s">
        <v>122</v>
      </c>
      <c r="E341" s="4">
        <v>8.3199999999999995E-4</v>
      </c>
      <c r="F341" s="47"/>
      <c r="G341" s="29">
        <v>7</v>
      </c>
      <c r="H341" s="5">
        <v>25</v>
      </c>
      <c r="I341" s="30" t="s">
        <v>112</v>
      </c>
      <c r="J341" s="2" t="s">
        <v>23</v>
      </c>
      <c r="K341" s="1" t="s">
        <v>24</v>
      </c>
      <c r="L341" s="3">
        <v>40</v>
      </c>
      <c r="M341" s="3">
        <v>4.0000000000000001E-3</v>
      </c>
      <c r="N341" s="54">
        <v>31</v>
      </c>
      <c r="O341" s="1" t="s">
        <v>222</v>
      </c>
      <c r="P341" s="1">
        <v>2006</v>
      </c>
      <c r="Q341" s="13" t="s">
        <v>223</v>
      </c>
    </row>
    <row r="342" spans="1:17" x14ac:dyDescent="0.15">
      <c r="A342" s="3">
        <v>258</v>
      </c>
      <c r="B342" s="42" t="s">
        <v>76</v>
      </c>
      <c r="D342" s="2" t="s">
        <v>122</v>
      </c>
      <c r="E342" s="4">
        <v>2.5000000000000001E-4</v>
      </c>
      <c r="F342" s="47"/>
      <c r="G342" s="12" t="s">
        <v>410</v>
      </c>
      <c r="H342" s="3">
        <v>21</v>
      </c>
      <c r="I342" s="13" t="s">
        <v>75</v>
      </c>
      <c r="J342" s="2" t="s">
        <v>406</v>
      </c>
      <c r="K342" s="1" t="s">
        <v>407</v>
      </c>
      <c r="L342" s="3" t="s">
        <v>408</v>
      </c>
      <c r="M342" s="3" t="s">
        <v>408</v>
      </c>
      <c r="N342" s="54">
        <v>55</v>
      </c>
      <c r="O342" s="1" t="s">
        <v>405</v>
      </c>
      <c r="P342" s="1">
        <v>2014</v>
      </c>
      <c r="Q342" s="13" t="s">
        <v>404</v>
      </c>
    </row>
    <row r="343" spans="1:17" x14ac:dyDescent="0.15">
      <c r="A343" s="3">
        <v>367</v>
      </c>
      <c r="B343" s="42" t="s">
        <v>76</v>
      </c>
      <c r="C343" s="3">
        <v>208</v>
      </c>
      <c r="D343" s="2" t="s">
        <v>122</v>
      </c>
      <c r="E343" s="4">
        <f>AVERAGE(E337:E342)</f>
        <v>4.5199999999999998E-4</v>
      </c>
      <c r="F343" s="47">
        <f>STDEV(E337:E342)</f>
        <v>2.7626074639731208E-4</v>
      </c>
      <c r="G343" s="12" t="s">
        <v>786</v>
      </c>
      <c r="H343" s="3" t="s">
        <v>756</v>
      </c>
      <c r="I343" s="13" t="s">
        <v>787</v>
      </c>
      <c r="J343" s="2"/>
      <c r="L343" s="3"/>
      <c r="M343" s="3"/>
      <c r="N343" s="54" t="s">
        <v>788</v>
      </c>
      <c r="Q343" s="13"/>
    </row>
    <row r="344" spans="1:17" x14ac:dyDescent="0.15">
      <c r="A344" s="3">
        <v>76</v>
      </c>
      <c r="B344" s="42" t="s">
        <v>76</v>
      </c>
      <c r="D344" s="2" t="s">
        <v>611</v>
      </c>
      <c r="E344" s="8">
        <f>0.03/0.001</f>
        <v>30</v>
      </c>
      <c r="F344" s="48">
        <f>20/300*E344</f>
        <v>2</v>
      </c>
      <c r="G344" s="12">
        <v>7.1</v>
      </c>
      <c r="H344" s="3">
        <v>21</v>
      </c>
      <c r="I344" s="13" t="s">
        <v>666</v>
      </c>
      <c r="J344" s="2" t="s">
        <v>142</v>
      </c>
      <c r="K344" s="1" t="s">
        <v>133</v>
      </c>
      <c r="L344" s="3" t="s">
        <v>165</v>
      </c>
      <c r="M344" s="3">
        <v>1E-3</v>
      </c>
      <c r="N344" s="54">
        <v>17</v>
      </c>
      <c r="O344" s="1" t="s">
        <v>138</v>
      </c>
      <c r="P344" s="1">
        <v>1999</v>
      </c>
      <c r="Q344" s="13" t="s">
        <v>144</v>
      </c>
    </row>
    <row r="345" spans="1:17" x14ac:dyDescent="0.15">
      <c r="A345" s="3">
        <v>100</v>
      </c>
      <c r="B345" s="42" t="s">
        <v>76</v>
      </c>
      <c r="D345" s="2" t="s">
        <v>611</v>
      </c>
      <c r="E345" s="8">
        <v>48.6</v>
      </c>
      <c r="F345" s="48">
        <v>0.9</v>
      </c>
      <c r="G345" s="12">
        <v>7</v>
      </c>
      <c r="H345" s="3">
        <v>20</v>
      </c>
      <c r="I345" s="13" t="s">
        <v>112</v>
      </c>
      <c r="J345" s="2" t="s">
        <v>164</v>
      </c>
      <c r="K345" s="1" t="s">
        <v>133</v>
      </c>
      <c r="L345" s="3" t="s">
        <v>674</v>
      </c>
      <c r="M345" s="3" t="s">
        <v>671</v>
      </c>
      <c r="N345" s="54">
        <v>22</v>
      </c>
      <c r="O345" s="1" t="s">
        <v>163</v>
      </c>
      <c r="P345" s="1">
        <v>2001</v>
      </c>
      <c r="Q345" s="13" t="s">
        <v>162</v>
      </c>
    </row>
    <row r="346" spans="1:17" x14ac:dyDescent="0.15">
      <c r="A346" s="3">
        <v>143</v>
      </c>
      <c r="B346" s="42" t="s">
        <v>76</v>
      </c>
      <c r="D346" s="2" t="s">
        <v>611</v>
      </c>
      <c r="E346" s="8">
        <v>39</v>
      </c>
      <c r="F346" s="48">
        <v>3</v>
      </c>
      <c r="G346" s="29">
        <v>7</v>
      </c>
      <c r="H346" s="5">
        <v>25</v>
      </c>
      <c r="I346" s="30" t="s">
        <v>112</v>
      </c>
      <c r="J346" s="2" t="s">
        <v>23</v>
      </c>
      <c r="K346" s="1" t="s">
        <v>24</v>
      </c>
      <c r="L346" s="3" t="s">
        <v>245</v>
      </c>
      <c r="M346" s="3" t="s">
        <v>246</v>
      </c>
      <c r="N346" s="54">
        <v>31</v>
      </c>
      <c r="O346" s="1" t="s">
        <v>222</v>
      </c>
      <c r="P346" s="1">
        <v>2006</v>
      </c>
      <c r="Q346" s="13" t="s">
        <v>223</v>
      </c>
    </row>
    <row r="347" spans="1:17" x14ac:dyDescent="0.15">
      <c r="A347" s="3">
        <v>368</v>
      </c>
      <c r="B347" s="42" t="s">
        <v>76</v>
      </c>
      <c r="C347" s="3">
        <v>209</v>
      </c>
      <c r="D347" s="2" t="s">
        <v>611</v>
      </c>
      <c r="E347" s="8">
        <f>AVERAGE(E344:E346)</f>
        <v>39.199999999999996</v>
      </c>
      <c r="F347" s="48">
        <f>STDEV(E344:E346)</f>
        <v>9.301612763386812</v>
      </c>
      <c r="G347" s="29" t="s">
        <v>715</v>
      </c>
      <c r="H347" s="5" t="s">
        <v>756</v>
      </c>
      <c r="I347" s="30" t="s">
        <v>760</v>
      </c>
      <c r="J347" s="2"/>
      <c r="L347" s="3"/>
      <c r="M347" s="3"/>
      <c r="N347" s="54" t="s">
        <v>789</v>
      </c>
      <c r="Q347" s="13"/>
    </row>
    <row r="348" spans="1:17" x14ac:dyDescent="0.15">
      <c r="A348" s="3">
        <v>74</v>
      </c>
      <c r="B348" s="42" t="s">
        <v>76</v>
      </c>
      <c r="C348" s="3">
        <v>210.1</v>
      </c>
      <c r="D348" s="2" t="s">
        <v>607</v>
      </c>
      <c r="E348" s="6">
        <f>0.54/60/60/0.0007</f>
        <v>0.2142857142857143</v>
      </c>
      <c r="F348" s="46"/>
      <c r="G348" s="12">
        <v>8</v>
      </c>
      <c r="H348" s="3">
        <v>22</v>
      </c>
      <c r="I348" s="13" t="s">
        <v>135</v>
      </c>
      <c r="J348" s="2" t="s">
        <v>661</v>
      </c>
      <c r="K348" s="1" t="s">
        <v>133</v>
      </c>
      <c r="L348" s="3">
        <f>M348/(0.001/131.4)</f>
        <v>91.98</v>
      </c>
      <c r="M348" s="3">
        <v>6.9999999999999999E-4</v>
      </c>
      <c r="N348" s="54">
        <v>15</v>
      </c>
      <c r="O348" s="1" t="s">
        <v>131</v>
      </c>
      <c r="P348" s="1">
        <v>1998</v>
      </c>
      <c r="Q348" s="13" t="s">
        <v>132</v>
      </c>
    </row>
    <row r="349" spans="1:17" x14ac:dyDescent="0.15">
      <c r="A349" s="3">
        <v>75</v>
      </c>
      <c r="B349" s="42" t="s">
        <v>76</v>
      </c>
      <c r="D349" s="2" t="s">
        <v>607</v>
      </c>
      <c r="E349" s="6">
        <f>AVERAGE(0.00102/(0.25/158),0.00065/(0.155/158))</f>
        <v>0.65361032258064511</v>
      </c>
      <c r="F349" s="46">
        <f>STDEV(0.00102/(0.25/158),0.00065/(0.155/158))</f>
        <v>1.2685951852409869E-2</v>
      </c>
      <c r="G349" s="12">
        <v>5.6</v>
      </c>
      <c r="H349" s="3">
        <v>23</v>
      </c>
      <c r="I349" s="13" t="s">
        <v>148</v>
      </c>
      <c r="J349" s="2" t="s">
        <v>173</v>
      </c>
      <c r="K349" s="1" t="s">
        <v>133</v>
      </c>
      <c r="L349" s="3" t="s">
        <v>677</v>
      </c>
      <c r="M349" s="3" t="s">
        <v>174</v>
      </c>
      <c r="N349" s="54">
        <v>24</v>
      </c>
      <c r="O349" s="1" t="s">
        <v>172</v>
      </c>
      <c r="P349" s="1">
        <v>2002</v>
      </c>
      <c r="Q349" s="13" t="s">
        <v>171</v>
      </c>
    </row>
    <row r="350" spans="1:17" x14ac:dyDescent="0.15">
      <c r="A350" s="3">
        <v>78</v>
      </c>
      <c r="B350" s="42" t="s">
        <v>76</v>
      </c>
      <c r="D350" s="2" t="s">
        <v>607</v>
      </c>
      <c r="E350" s="6">
        <v>0.66</v>
      </c>
      <c r="F350" s="46">
        <v>0.02</v>
      </c>
      <c r="G350" s="12" t="s">
        <v>145</v>
      </c>
      <c r="H350" s="3" t="s">
        <v>75</v>
      </c>
      <c r="I350" s="13" t="s">
        <v>141</v>
      </c>
      <c r="J350" s="2" t="s">
        <v>142</v>
      </c>
      <c r="K350" s="1" t="s">
        <v>133</v>
      </c>
      <c r="L350" s="3" t="s">
        <v>665</v>
      </c>
      <c r="M350" s="3" t="s">
        <v>143</v>
      </c>
      <c r="N350" s="54">
        <v>16</v>
      </c>
      <c r="O350" s="1" t="s">
        <v>138</v>
      </c>
      <c r="P350" s="1">
        <v>1998</v>
      </c>
      <c r="Q350" s="13" t="s">
        <v>137</v>
      </c>
    </row>
    <row r="351" spans="1:17" x14ac:dyDescent="0.15">
      <c r="A351" s="3">
        <v>95</v>
      </c>
      <c r="B351" s="42" t="s">
        <v>76</v>
      </c>
      <c r="D351" s="2" t="s">
        <v>607</v>
      </c>
      <c r="E351" s="6">
        <v>0.67</v>
      </c>
      <c r="F351" s="46">
        <v>0.03</v>
      </c>
      <c r="G351" s="39" t="s">
        <v>145</v>
      </c>
      <c r="H351" s="3">
        <v>21</v>
      </c>
      <c r="I351" s="13" t="s">
        <v>666</v>
      </c>
      <c r="J351" s="2" t="s">
        <v>142</v>
      </c>
      <c r="K351" s="1" t="s">
        <v>133</v>
      </c>
      <c r="L351" s="3" t="s">
        <v>55</v>
      </c>
      <c r="M351" s="3" t="s">
        <v>143</v>
      </c>
      <c r="N351" s="54">
        <v>17</v>
      </c>
      <c r="O351" s="1" t="s">
        <v>138</v>
      </c>
      <c r="P351" s="1">
        <v>1999</v>
      </c>
      <c r="Q351" s="13" t="s">
        <v>144</v>
      </c>
    </row>
    <row r="352" spans="1:17" x14ac:dyDescent="0.15">
      <c r="A352" s="3">
        <v>97</v>
      </c>
      <c r="B352" s="42" t="s">
        <v>76</v>
      </c>
      <c r="D352" s="2" t="s">
        <v>607</v>
      </c>
      <c r="E352" s="6">
        <v>0.67</v>
      </c>
      <c r="F352" s="46">
        <v>0.03</v>
      </c>
      <c r="G352" s="12" t="s">
        <v>145</v>
      </c>
      <c r="H352" s="3">
        <v>21</v>
      </c>
      <c r="I352" s="13" t="s">
        <v>112</v>
      </c>
      <c r="J352" s="2" t="s">
        <v>75</v>
      </c>
      <c r="K352" s="1" t="s">
        <v>133</v>
      </c>
      <c r="L352" s="3">
        <f>0.63/0.09</f>
        <v>7</v>
      </c>
      <c r="M352" s="3">
        <v>6.3000000000000003E-4</v>
      </c>
      <c r="N352" s="54">
        <v>21</v>
      </c>
      <c r="O352" s="1" t="s">
        <v>138</v>
      </c>
      <c r="P352" s="1">
        <v>2000</v>
      </c>
      <c r="Q352" s="13" t="s">
        <v>161</v>
      </c>
    </row>
    <row r="353" spans="1:22" x14ac:dyDescent="0.15">
      <c r="A353" s="3">
        <v>103</v>
      </c>
      <c r="B353" s="42" t="s">
        <v>76</v>
      </c>
      <c r="D353" s="2" t="s">
        <v>607</v>
      </c>
      <c r="E353" s="6">
        <v>0.76</v>
      </c>
      <c r="F353" s="46">
        <v>0.03</v>
      </c>
      <c r="G353" s="29">
        <v>7</v>
      </c>
      <c r="H353" s="5">
        <v>25</v>
      </c>
      <c r="I353" s="30" t="s">
        <v>112</v>
      </c>
      <c r="J353" s="2" t="s">
        <v>23</v>
      </c>
      <c r="K353" s="1" t="s">
        <v>24</v>
      </c>
      <c r="L353" s="3" t="s">
        <v>228</v>
      </c>
      <c r="M353" s="3" t="s">
        <v>60</v>
      </c>
      <c r="N353" s="54">
        <v>31</v>
      </c>
      <c r="O353" s="1" t="s">
        <v>222</v>
      </c>
      <c r="P353" s="1">
        <v>2006</v>
      </c>
      <c r="Q353" s="13" t="s">
        <v>223</v>
      </c>
    </row>
    <row r="354" spans="1:22" ht="15" customHeight="1" x14ac:dyDescent="0.15">
      <c r="A354" s="3">
        <v>132</v>
      </c>
      <c r="B354" s="42" t="s">
        <v>76</v>
      </c>
      <c r="D354" s="2" t="s">
        <v>607</v>
      </c>
      <c r="E354" s="6">
        <v>0.76</v>
      </c>
      <c r="F354" s="46">
        <v>0.06</v>
      </c>
      <c r="G354" s="12">
        <v>6.25</v>
      </c>
      <c r="H354" s="3" t="s">
        <v>75</v>
      </c>
      <c r="I354" s="13" t="s">
        <v>509</v>
      </c>
      <c r="J354" s="2" t="s">
        <v>142</v>
      </c>
      <c r="K354" s="1" t="s">
        <v>133</v>
      </c>
      <c r="L354" s="3" t="s">
        <v>507</v>
      </c>
      <c r="M354" s="3" t="s">
        <v>506</v>
      </c>
      <c r="N354" s="54">
        <v>80</v>
      </c>
      <c r="O354" s="1" t="s">
        <v>505</v>
      </c>
      <c r="P354" s="1">
        <v>1993</v>
      </c>
      <c r="Q354" s="13" t="s">
        <v>504</v>
      </c>
      <c r="T354" s="34"/>
      <c r="V354" s="34"/>
    </row>
    <row r="355" spans="1:22" ht="15" customHeight="1" x14ac:dyDescent="0.15">
      <c r="A355" s="3">
        <v>257</v>
      </c>
      <c r="B355" s="42" t="s">
        <v>76</v>
      </c>
      <c r="D355" s="2" t="s">
        <v>607</v>
      </c>
      <c r="E355" s="6">
        <f>46/60</f>
        <v>0.76666666666666672</v>
      </c>
      <c r="F355" s="24"/>
      <c r="G355" s="12">
        <v>5.3</v>
      </c>
      <c r="H355" s="3" t="s">
        <v>75</v>
      </c>
      <c r="I355" s="13" t="s">
        <v>148</v>
      </c>
      <c r="J355" s="2" t="s">
        <v>142</v>
      </c>
      <c r="K355" s="1" t="s">
        <v>133</v>
      </c>
      <c r="L355" s="3">
        <v>15</v>
      </c>
      <c r="M355" s="3">
        <v>7.9000000000000008E-3</v>
      </c>
      <c r="N355" s="54">
        <v>85</v>
      </c>
      <c r="O355" s="1" t="s">
        <v>603</v>
      </c>
      <c r="P355" s="1">
        <v>2003</v>
      </c>
      <c r="Q355" s="13" t="s">
        <v>604</v>
      </c>
      <c r="T355" s="34"/>
      <c r="V355" s="34"/>
    </row>
    <row r="356" spans="1:22" ht="15" customHeight="1" x14ac:dyDescent="0.15">
      <c r="A356" s="3">
        <v>262</v>
      </c>
      <c r="B356" s="42" t="s">
        <v>76</v>
      </c>
      <c r="D356" s="2" t="s">
        <v>607</v>
      </c>
      <c r="E356" s="6">
        <v>0.8</v>
      </c>
      <c r="F356" s="46">
        <v>0.12</v>
      </c>
      <c r="G356" s="12">
        <v>7</v>
      </c>
      <c r="H356" s="3">
        <v>20</v>
      </c>
      <c r="I356" s="13" t="s">
        <v>112</v>
      </c>
      <c r="J356" s="2" t="s">
        <v>164</v>
      </c>
      <c r="K356" s="1" t="s">
        <v>133</v>
      </c>
      <c r="L356" s="3" t="s">
        <v>670</v>
      </c>
      <c r="M356" s="3" t="s">
        <v>601</v>
      </c>
      <c r="N356" s="54">
        <v>22</v>
      </c>
      <c r="O356" s="1" t="s">
        <v>163</v>
      </c>
      <c r="P356" s="1">
        <v>2001</v>
      </c>
      <c r="Q356" s="13" t="s">
        <v>162</v>
      </c>
      <c r="T356" s="34"/>
      <c r="V356" s="34"/>
    </row>
    <row r="357" spans="1:22" x14ac:dyDescent="0.15">
      <c r="A357" s="3">
        <v>314</v>
      </c>
      <c r="B357" s="42" t="s">
        <v>76</v>
      </c>
      <c r="D357" s="2" t="s">
        <v>607</v>
      </c>
      <c r="E357" s="6">
        <v>0.8</v>
      </c>
      <c r="F357" s="46"/>
      <c r="G357" s="12" t="s">
        <v>409</v>
      </c>
      <c r="H357" s="3">
        <v>21</v>
      </c>
      <c r="I357" s="13" t="s">
        <v>75</v>
      </c>
      <c r="J357" s="2" t="s">
        <v>406</v>
      </c>
      <c r="K357" s="1" t="s">
        <v>407</v>
      </c>
      <c r="L357" s="3" t="s">
        <v>408</v>
      </c>
      <c r="M357" s="3" t="s">
        <v>408</v>
      </c>
      <c r="N357" s="54">
        <v>55</v>
      </c>
      <c r="O357" s="1" t="s">
        <v>405</v>
      </c>
      <c r="P357" s="1">
        <v>2014</v>
      </c>
      <c r="Q357" s="13" t="s">
        <v>404</v>
      </c>
      <c r="T357" s="34"/>
      <c r="V357" s="34"/>
    </row>
    <row r="358" spans="1:22" x14ac:dyDescent="0.15">
      <c r="A358" s="3">
        <v>315</v>
      </c>
      <c r="B358" s="42" t="s">
        <v>76</v>
      </c>
      <c r="D358" s="2" t="s">
        <v>607</v>
      </c>
      <c r="E358" s="6">
        <v>0.8</v>
      </c>
      <c r="F358" s="46"/>
      <c r="G358" s="12">
        <v>6.3</v>
      </c>
      <c r="H358" s="3">
        <v>25</v>
      </c>
      <c r="I358" s="13" t="s">
        <v>148</v>
      </c>
      <c r="J358" s="2" t="s">
        <v>142</v>
      </c>
      <c r="K358" s="1" t="s">
        <v>133</v>
      </c>
      <c r="L358" s="3" t="s">
        <v>192</v>
      </c>
      <c r="M358" s="3" t="s">
        <v>512</v>
      </c>
      <c r="N358" s="54">
        <v>81</v>
      </c>
      <c r="O358" s="1" t="s">
        <v>511</v>
      </c>
      <c r="P358" s="1">
        <v>2008</v>
      </c>
      <c r="Q358" s="13" t="s">
        <v>510</v>
      </c>
    </row>
    <row r="359" spans="1:22" x14ac:dyDescent="0.15">
      <c r="A359" s="3">
        <v>316</v>
      </c>
      <c r="B359" s="42" t="s">
        <v>76</v>
      </c>
      <c r="D359" s="2" t="s">
        <v>607</v>
      </c>
      <c r="E359" s="3">
        <v>0.89</v>
      </c>
      <c r="F359" s="24">
        <v>0.03</v>
      </c>
      <c r="G359" s="12">
        <v>7</v>
      </c>
      <c r="H359" s="3">
        <v>20</v>
      </c>
      <c r="I359" s="13" t="s">
        <v>112</v>
      </c>
      <c r="J359" s="2" t="s">
        <v>164</v>
      </c>
      <c r="K359" s="1" t="s">
        <v>133</v>
      </c>
      <c r="L359" s="3" t="s">
        <v>602</v>
      </c>
      <c r="M359" s="3" t="s">
        <v>601</v>
      </c>
      <c r="N359" s="54">
        <v>84</v>
      </c>
      <c r="O359" s="1" t="s">
        <v>163</v>
      </c>
      <c r="P359" s="1">
        <v>1999</v>
      </c>
      <c r="Q359" s="13" t="s">
        <v>600</v>
      </c>
    </row>
    <row r="360" spans="1:22" x14ac:dyDescent="0.15">
      <c r="A360" s="3">
        <v>323</v>
      </c>
      <c r="B360" s="42" t="s">
        <v>76</v>
      </c>
      <c r="D360" s="2" t="s">
        <v>607</v>
      </c>
      <c r="E360" s="6">
        <v>0.92</v>
      </c>
      <c r="F360" s="46">
        <v>7.0000000000000007E-2</v>
      </c>
      <c r="G360" s="12">
        <v>6.9</v>
      </c>
      <c r="H360" s="3">
        <v>20</v>
      </c>
      <c r="I360" s="13" t="s">
        <v>227</v>
      </c>
      <c r="J360" s="2" t="s">
        <v>142</v>
      </c>
      <c r="K360" s="1" t="s">
        <v>133</v>
      </c>
      <c r="L360" s="3" t="s">
        <v>701</v>
      </c>
      <c r="M360" s="3" t="s">
        <v>515</v>
      </c>
      <c r="N360" s="54">
        <v>82</v>
      </c>
      <c r="O360" s="1" t="s">
        <v>514</v>
      </c>
      <c r="P360" s="1">
        <v>2008</v>
      </c>
      <c r="Q360" s="13" t="s">
        <v>513</v>
      </c>
    </row>
    <row r="361" spans="1:22" x14ac:dyDescent="0.15">
      <c r="A361" s="3">
        <v>324</v>
      </c>
      <c r="B361" s="42" t="s">
        <v>76</v>
      </c>
      <c r="D361" s="2" t="s">
        <v>607</v>
      </c>
      <c r="E361" s="6">
        <f>AVERAGE(0.61,0.96,1.21)</f>
        <v>0.92666666666666664</v>
      </c>
      <c r="F361" s="46"/>
      <c r="G361" s="12">
        <v>5.6</v>
      </c>
      <c r="H361" s="3" t="s">
        <v>75</v>
      </c>
      <c r="I361" s="13" t="s">
        <v>148</v>
      </c>
      <c r="J361" s="2" t="s">
        <v>142</v>
      </c>
      <c r="K361" s="1" t="s">
        <v>133</v>
      </c>
      <c r="L361" s="3" t="s">
        <v>255</v>
      </c>
      <c r="M361" s="3" t="s">
        <v>422</v>
      </c>
      <c r="N361" s="54">
        <v>58</v>
      </c>
      <c r="O361" s="1" t="s">
        <v>420</v>
      </c>
      <c r="P361" s="1">
        <v>2015</v>
      </c>
      <c r="Q361" s="13" t="s">
        <v>421</v>
      </c>
    </row>
    <row r="362" spans="1:22" x14ac:dyDescent="0.15">
      <c r="A362" s="3">
        <v>369</v>
      </c>
      <c r="B362" s="42" t="s">
        <v>76</v>
      </c>
      <c r="C362" s="3">
        <v>210</v>
      </c>
      <c r="D362" s="2" t="s">
        <v>607</v>
      </c>
      <c r="E362" s="6">
        <f>AVERAGE(E349:E361)</f>
        <v>0.77514951199338289</v>
      </c>
      <c r="F362" s="46">
        <f>STDEV(E349:E361)</f>
        <v>9.5593490628428909E-2</v>
      </c>
      <c r="G362" s="12" t="s">
        <v>145</v>
      </c>
      <c r="H362" s="3" t="s">
        <v>756</v>
      </c>
      <c r="I362" s="13" t="s">
        <v>754</v>
      </c>
      <c r="J362" s="2"/>
      <c r="L362" s="3"/>
      <c r="M362" s="3"/>
      <c r="N362" s="54" t="s">
        <v>790</v>
      </c>
      <c r="Q362" s="13"/>
    </row>
    <row r="363" spans="1:22" x14ac:dyDescent="0.15">
      <c r="A363" s="3">
        <v>161</v>
      </c>
      <c r="B363" s="42" t="s">
        <v>188</v>
      </c>
      <c r="D363" s="2" t="s">
        <v>286</v>
      </c>
      <c r="E363" s="5">
        <v>129</v>
      </c>
      <c r="F363" s="9">
        <f>0.05*E363</f>
        <v>6.45</v>
      </c>
      <c r="G363" s="12">
        <v>7</v>
      </c>
      <c r="H363" s="3">
        <v>23</v>
      </c>
      <c r="I363" s="13" t="s">
        <v>289</v>
      </c>
      <c r="J363" s="2" t="s">
        <v>185</v>
      </c>
      <c r="K363" s="1" t="s">
        <v>133</v>
      </c>
      <c r="L363" s="3" t="s">
        <v>287</v>
      </c>
      <c r="M363" s="3" t="s">
        <v>288</v>
      </c>
      <c r="N363" s="54">
        <v>37</v>
      </c>
      <c r="O363" s="1" t="s">
        <v>285</v>
      </c>
      <c r="P363" s="1">
        <v>2009</v>
      </c>
      <c r="Q363" s="13" t="s">
        <v>284</v>
      </c>
    </row>
    <row r="364" spans="1:22" x14ac:dyDescent="0.15">
      <c r="A364" s="3">
        <v>173</v>
      </c>
      <c r="B364" s="42" t="s">
        <v>188</v>
      </c>
      <c r="C364" s="3">
        <v>211.1</v>
      </c>
      <c r="D364" s="2" t="s">
        <v>286</v>
      </c>
      <c r="E364" s="5">
        <v>317.48</v>
      </c>
      <c r="F364" s="9">
        <f>6.38/79.37*E364</f>
        <v>25.52</v>
      </c>
      <c r="G364" s="12">
        <v>7</v>
      </c>
      <c r="H364" s="3" t="s">
        <v>75</v>
      </c>
      <c r="I364" s="13" t="s">
        <v>112</v>
      </c>
      <c r="J364" s="2" t="s">
        <v>23</v>
      </c>
      <c r="K364" s="1" t="s">
        <v>24</v>
      </c>
      <c r="L364" s="3">
        <v>5</v>
      </c>
      <c r="M364" s="3">
        <v>2.5000000000000001E-4</v>
      </c>
      <c r="N364" s="54">
        <v>40</v>
      </c>
      <c r="O364" s="1" t="s">
        <v>306</v>
      </c>
      <c r="P364" s="1">
        <v>2010</v>
      </c>
      <c r="Q364" s="13" t="s">
        <v>305</v>
      </c>
    </row>
    <row r="365" spans="1:22" x14ac:dyDescent="0.15">
      <c r="A365" s="3">
        <v>264</v>
      </c>
      <c r="B365" s="42" t="s">
        <v>188</v>
      </c>
      <c r="D365" s="2" t="s">
        <v>286</v>
      </c>
      <c r="E365" s="5">
        <f>-LN(1/100)/120/((0.02/289.5)*2.5)</f>
        <v>222.19946147392537</v>
      </c>
      <c r="F365" s="49">
        <f>0.02/289.5*2.5</f>
        <v>1.7271157167530226E-4</v>
      </c>
      <c r="G365" s="12">
        <v>8</v>
      </c>
      <c r="H365" s="3">
        <v>25</v>
      </c>
      <c r="I365" s="13" t="s">
        <v>75</v>
      </c>
      <c r="J365" s="2" t="s">
        <v>185</v>
      </c>
      <c r="K365" s="1" t="s">
        <v>133</v>
      </c>
      <c r="L365" s="3">
        <v>2.5</v>
      </c>
      <c r="M365" s="3">
        <v>1.7000000000000001E-4</v>
      </c>
      <c r="N365" s="54">
        <v>60</v>
      </c>
      <c r="O365" s="1" t="s">
        <v>217</v>
      </c>
      <c r="P365" s="1">
        <v>2016</v>
      </c>
      <c r="Q365" s="13" t="s">
        <v>425</v>
      </c>
    </row>
    <row r="366" spans="1:22" x14ac:dyDescent="0.15">
      <c r="A366" s="3">
        <v>285</v>
      </c>
      <c r="B366" s="42" t="s">
        <v>188</v>
      </c>
      <c r="D366" s="2" t="s">
        <v>286</v>
      </c>
      <c r="E366" s="5">
        <v>110.4</v>
      </c>
      <c r="F366" s="9">
        <v>3</v>
      </c>
      <c r="G366" s="12">
        <v>7</v>
      </c>
      <c r="H366" s="3">
        <v>25</v>
      </c>
      <c r="I366" s="13" t="s">
        <v>452</v>
      </c>
      <c r="J366" s="2" t="s">
        <v>185</v>
      </c>
      <c r="K366" s="1" t="s">
        <v>133</v>
      </c>
      <c r="L366" s="3" t="s">
        <v>456</v>
      </c>
      <c r="M366" s="3" t="s">
        <v>453</v>
      </c>
      <c r="N366" s="54">
        <v>67</v>
      </c>
      <c r="O366" s="1" t="s">
        <v>449</v>
      </c>
      <c r="P366" s="1">
        <v>2018</v>
      </c>
      <c r="Q366" s="13" t="s">
        <v>448</v>
      </c>
    </row>
    <row r="367" spans="1:22" x14ac:dyDescent="0.15">
      <c r="A367" s="3">
        <v>370</v>
      </c>
      <c r="B367" s="42" t="s">
        <v>188</v>
      </c>
      <c r="C367" s="3">
        <v>211</v>
      </c>
      <c r="D367" s="2" t="s">
        <v>286</v>
      </c>
      <c r="E367" s="5">
        <f>AVERAGE(E366,E365,E363)</f>
        <v>153.86648715797511</v>
      </c>
      <c r="F367" s="9">
        <f>STDEV(E366,E365,E363)</f>
        <v>59.904394948519759</v>
      </c>
      <c r="G367" s="12">
        <v>7</v>
      </c>
      <c r="H367" s="3">
        <v>25</v>
      </c>
      <c r="I367" s="13" t="s">
        <v>740</v>
      </c>
      <c r="J367" s="2"/>
      <c r="L367" s="3"/>
      <c r="M367" s="3"/>
      <c r="N367" s="54" t="s">
        <v>791</v>
      </c>
      <c r="Q367" s="13"/>
    </row>
    <row r="368" spans="1:22" x14ac:dyDescent="0.15">
      <c r="A368" s="3">
        <v>186</v>
      </c>
      <c r="B368" s="42" t="s">
        <v>188</v>
      </c>
      <c r="C368" s="3">
        <v>212.1</v>
      </c>
      <c r="D368" s="2" t="s">
        <v>318</v>
      </c>
      <c r="E368" s="6">
        <v>2.64</v>
      </c>
      <c r="F368" s="46">
        <f>0.09/0.66*E368</f>
        <v>0.36</v>
      </c>
      <c r="G368" s="12">
        <v>7</v>
      </c>
      <c r="H368" s="3" t="s">
        <v>75</v>
      </c>
      <c r="I368" s="13" t="s">
        <v>112</v>
      </c>
      <c r="J368" s="2" t="s">
        <v>23</v>
      </c>
      <c r="K368" s="1" t="s">
        <v>24</v>
      </c>
      <c r="L368" s="3">
        <v>5</v>
      </c>
      <c r="M368" s="3">
        <v>2.5000000000000001E-4</v>
      </c>
      <c r="N368" s="54">
        <v>40</v>
      </c>
      <c r="O368" s="1" t="s">
        <v>306</v>
      </c>
      <c r="P368" s="1">
        <v>2010</v>
      </c>
      <c r="Q368" s="13" t="s">
        <v>305</v>
      </c>
    </row>
    <row r="369" spans="1:17" x14ac:dyDescent="0.15">
      <c r="A369" s="3">
        <v>214</v>
      </c>
      <c r="B369" s="42" t="s">
        <v>188</v>
      </c>
      <c r="C369" s="3">
        <v>212</v>
      </c>
      <c r="D369" s="2" t="s">
        <v>318</v>
      </c>
      <c r="E369" s="6">
        <v>1.6</v>
      </c>
      <c r="F369" s="46">
        <v>0.1</v>
      </c>
      <c r="G369" s="12">
        <v>7</v>
      </c>
      <c r="H369" s="3">
        <v>25</v>
      </c>
      <c r="I369" s="13" t="s">
        <v>283</v>
      </c>
      <c r="J369" s="2" t="s">
        <v>185</v>
      </c>
      <c r="K369" s="1" t="s">
        <v>133</v>
      </c>
      <c r="L369" s="3" t="s">
        <v>352</v>
      </c>
      <c r="M369" s="3" t="s">
        <v>350</v>
      </c>
      <c r="N369" s="54">
        <v>42</v>
      </c>
      <c r="O369" s="1" t="s">
        <v>280</v>
      </c>
      <c r="P369" s="1">
        <v>2010</v>
      </c>
      <c r="Q369" s="13" t="s">
        <v>347</v>
      </c>
    </row>
    <row r="370" spans="1:17" x14ac:dyDescent="0.15">
      <c r="A370" s="3">
        <v>209</v>
      </c>
      <c r="B370" s="42" t="s">
        <v>188</v>
      </c>
      <c r="C370" s="3">
        <v>213</v>
      </c>
      <c r="D370" s="2" t="s">
        <v>547</v>
      </c>
      <c r="E370" s="3" t="s">
        <v>342</v>
      </c>
      <c r="F370" s="24"/>
      <c r="G370" s="12">
        <v>7</v>
      </c>
      <c r="H370" s="3" t="s">
        <v>75</v>
      </c>
      <c r="I370" s="13" t="s">
        <v>112</v>
      </c>
      <c r="J370" s="2" t="s">
        <v>23</v>
      </c>
      <c r="K370" s="1" t="s">
        <v>24</v>
      </c>
      <c r="L370" s="3">
        <v>5</v>
      </c>
      <c r="M370" s="3">
        <v>2.5000000000000001E-4</v>
      </c>
      <c r="N370" s="54">
        <v>40</v>
      </c>
      <c r="O370" s="1" t="s">
        <v>306</v>
      </c>
      <c r="P370" s="1">
        <v>2010</v>
      </c>
      <c r="Q370" s="13" t="s">
        <v>305</v>
      </c>
    </row>
    <row r="371" spans="1:17" x14ac:dyDescent="0.15">
      <c r="A371" s="3">
        <v>48</v>
      </c>
      <c r="B371" s="42" t="s">
        <v>30</v>
      </c>
      <c r="C371" s="3">
        <v>214</v>
      </c>
      <c r="D371" s="2" t="s">
        <v>113</v>
      </c>
      <c r="E371" s="6">
        <v>1.93</v>
      </c>
      <c r="F371" s="46"/>
      <c r="G371" s="12">
        <v>6.7</v>
      </c>
      <c r="H371" s="3">
        <v>25</v>
      </c>
      <c r="I371" s="13" t="s">
        <v>112</v>
      </c>
      <c r="J371" s="2" t="s">
        <v>23</v>
      </c>
      <c r="K371" s="1" t="s">
        <v>24</v>
      </c>
      <c r="L371" s="3">
        <v>10</v>
      </c>
      <c r="M371" s="3">
        <v>4.0000000000000001E-3</v>
      </c>
      <c r="N371" s="54">
        <v>11</v>
      </c>
      <c r="O371" s="1" t="s">
        <v>111</v>
      </c>
      <c r="P371" s="1">
        <v>1981</v>
      </c>
      <c r="Q371" s="13" t="s">
        <v>110</v>
      </c>
    </row>
    <row r="372" spans="1:17" x14ac:dyDescent="0.15">
      <c r="A372" s="3">
        <v>297</v>
      </c>
      <c r="B372" s="42" t="s">
        <v>76</v>
      </c>
      <c r="C372" s="3">
        <v>215</v>
      </c>
      <c r="D372" s="2" t="s">
        <v>478</v>
      </c>
      <c r="E372" s="3" t="s">
        <v>479</v>
      </c>
      <c r="F372" s="24"/>
      <c r="G372" s="12">
        <v>5.6</v>
      </c>
      <c r="H372" s="3">
        <v>23</v>
      </c>
      <c r="I372" s="13" t="s">
        <v>148</v>
      </c>
      <c r="J372" s="2" t="s">
        <v>23</v>
      </c>
      <c r="K372" s="1" t="s">
        <v>24</v>
      </c>
      <c r="L372" s="3">
        <v>100</v>
      </c>
      <c r="M372" s="3">
        <f>0.0006</f>
        <v>5.9999999999999995E-4</v>
      </c>
      <c r="N372" s="54">
        <v>73</v>
      </c>
      <c r="O372" s="1" t="s">
        <v>470</v>
      </c>
      <c r="P372" s="1">
        <v>2019</v>
      </c>
      <c r="Q372" s="13" t="s">
        <v>469</v>
      </c>
    </row>
    <row r="373" spans="1:17" x14ac:dyDescent="0.15">
      <c r="A373" s="16">
        <v>9</v>
      </c>
      <c r="B373" s="70" t="s">
        <v>30</v>
      </c>
      <c r="C373" s="16">
        <v>216</v>
      </c>
      <c r="D373" s="15" t="s">
        <v>636</v>
      </c>
      <c r="E373" s="17">
        <v>111</v>
      </c>
      <c r="F373" s="18">
        <v>6</v>
      </c>
      <c r="G373" s="71">
        <v>13</v>
      </c>
      <c r="H373" s="16">
        <v>25</v>
      </c>
      <c r="I373" s="72" t="s">
        <v>47</v>
      </c>
      <c r="J373" s="15" t="s">
        <v>23</v>
      </c>
      <c r="K373" s="19" t="s">
        <v>24</v>
      </c>
      <c r="L373" s="16" t="s">
        <v>49</v>
      </c>
      <c r="M373" s="16" t="s">
        <v>50</v>
      </c>
      <c r="N373" s="111">
        <v>2</v>
      </c>
      <c r="O373" s="19" t="s">
        <v>19</v>
      </c>
      <c r="P373" s="19">
        <v>1966</v>
      </c>
      <c r="Q373" s="72" t="s">
        <v>45</v>
      </c>
    </row>
  </sheetData>
  <sortState xmlns:xlrd2="http://schemas.microsoft.com/office/spreadsheetml/2017/richdata2" ref="D349:Q361">
    <sortCondition ref="E349:E361"/>
  </sortState>
  <mergeCells count="3">
    <mergeCell ref="G2:I2"/>
    <mergeCell ref="K2:M2"/>
    <mergeCell ref="N2:Q2"/>
  </mergeCells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C2A6-7927-ED43-991F-B1E7D8F6900C}">
  <dimension ref="A1:X258"/>
  <sheetViews>
    <sheetView zoomScale="130" zoomScaleNormal="130" workbookViewId="0">
      <pane ySplit="3" topLeftCell="A4" activePane="bottomLeft" state="frozen"/>
      <selection pane="bottomLeft" activeCell="C23" sqref="C23"/>
    </sheetView>
  </sheetViews>
  <sheetFormatPr baseColWidth="10" defaultColWidth="8.83203125" defaultRowHeight="14" x14ac:dyDescent="0.15"/>
  <cols>
    <col min="1" max="1" width="11.33203125" style="1" bestFit="1" customWidth="1"/>
    <col min="2" max="2" width="6.1640625" style="3" bestFit="1" customWidth="1"/>
    <col min="3" max="3" width="38.1640625" style="1" bestFit="1" customWidth="1"/>
    <col min="4" max="4" width="27.33203125" style="3" bestFit="1" customWidth="1"/>
    <col min="5" max="5" width="11.33203125" style="3" bestFit="1" customWidth="1"/>
    <col min="6" max="6" width="8.6640625" style="1" bestFit="1" customWidth="1"/>
    <col min="7" max="7" width="9.6640625" style="3" bestFit="1" customWidth="1"/>
    <col min="8" max="8" width="61.6640625" style="1" bestFit="1" customWidth="1"/>
    <col min="9" max="9" width="88.1640625" style="1" bestFit="1" customWidth="1"/>
    <col min="10" max="10" width="42.5" style="5" bestFit="1" customWidth="1"/>
    <col min="11" max="11" width="8.83203125" style="1"/>
    <col min="12" max="12" width="9.1640625" style="1" bestFit="1" customWidth="1"/>
    <col min="13" max="13" width="8.83203125" style="1"/>
    <col min="14" max="14" width="9.83203125" style="1" customWidth="1"/>
    <col min="15" max="15" width="12.5" style="1" bestFit="1" customWidth="1"/>
    <col min="16" max="16" width="14.33203125" style="1" bestFit="1" customWidth="1"/>
    <col min="17" max="18" width="8.83203125" style="1"/>
    <col min="19" max="19" width="12.5" style="1" bestFit="1" customWidth="1"/>
    <col min="20" max="20" width="12.33203125" style="1" bestFit="1" customWidth="1"/>
    <col min="21" max="23" width="8.83203125" style="1"/>
    <col min="24" max="24" width="9.1640625" style="1" bestFit="1" customWidth="1"/>
    <col min="25" max="16384" width="8.83203125" style="1"/>
  </cols>
  <sheetData>
    <row r="1" spans="1:10" x14ac:dyDescent="0.15">
      <c r="A1" s="1" t="s">
        <v>898</v>
      </c>
      <c r="B1" s="22"/>
      <c r="C1" s="14"/>
      <c r="D1" s="22"/>
      <c r="E1" s="22"/>
      <c r="F1" s="14"/>
      <c r="G1" s="14"/>
      <c r="H1" s="14"/>
      <c r="I1" s="14"/>
      <c r="J1" s="25"/>
    </row>
    <row r="2" spans="1:10" ht="28" customHeight="1" x14ac:dyDescent="0.15">
      <c r="A2" s="14"/>
      <c r="B2" s="22"/>
      <c r="C2" s="10"/>
      <c r="D2" s="22"/>
      <c r="E2" s="26"/>
      <c r="F2" s="147" t="s">
        <v>10</v>
      </c>
      <c r="G2" s="148"/>
      <c r="H2" s="149"/>
      <c r="I2" s="22"/>
      <c r="J2" s="43"/>
    </row>
    <row r="3" spans="1:10" x14ac:dyDescent="0.15">
      <c r="A3" s="10" t="s">
        <v>0</v>
      </c>
      <c r="B3" s="22" t="s">
        <v>90</v>
      </c>
      <c r="C3" s="10" t="s">
        <v>1</v>
      </c>
      <c r="D3" s="22" t="s">
        <v>2</v>
      </c>
      <c r="E3" s="26" t="s">
        <v>843</v>
      </c>
      <c r="F3" s="27" t="s">
        <v>5</v>
      </c>
      <c r="G3" s="22" t="s">
        <v>9</v>
      </c>
      <c r="H3" s="26" t="s">
        <v>629</v>
      </c>
      <c r="I3" s="22" t="s">
        <v>14</v>
      </c>
      <c r="J3" s="85" t="s">
        <v>899</v>
      </c>
    </row>
    <row r="4" spans="1:10" x14ac:dyDescent="0.15">
      <c r="A4" s="42" t="s">
        <v>76</v>
      </c>
      <c r="B4" s="3">
        <v>1</v>
      </c>
      <c r="C4" s="2" t="s">
        <v>520</v>
      </c>
      <c r="D4" s="7">
        <v>1.4E-2</v>
      </c>
      <c r="E4" s="45">
        <v>2E-3</v>
      </c>
      <c r="F4" s="12">
        <v>5.6</v>
      </c>
      <c r="G4" s="3">
        <v>21</v>
      </c>
      <c r="H4" s="13" t="s">
        <v>148</v>
      </c>
      <c r="J4" s="36">
        <v>28</v>
      </c>
    </row>
    <row r="5" spans="1:10" x14ac:dyDescent="0.15">
      <c r="A5" s="42" t="s">
        <v>76</v>
      </c>
      <c r="B5" s="3">
        <v>2</v>
      </c>
      <c r="C5" s="2" t="s">
        <v>610</v>
      </c>
      <c r="D5" s="6">
        <v>2.2400000000000002</v>
      </c>
      <c r="E5" s="46">
        <v>0.23853720883753129</v>
      </c>
      <c r="F5" s="12" t="s">
        <v>715</v>
      </c>
      <c r="G5" s="3">
        <v>21</v>
      </c>
      <c r="H5" s="13" t="s">
        <v>716</v>
      </c>
      <c r="J5" s="36" t="s">
        <v>717</v>
      </c>
    </row>
    <row r="6" spans="1:10" x14ac:dyDescent="0.15">
      <c r="A6" s="42" t="s">
        <v>30</v>
      </c>
      <c r="B6" s="3">
        <v>3</v>
      </c>
      <c r="C6" s="2" t="s">
        <v>516</v>
      </c>
      <c r="D6" s="4">
        <v>8.8999999999999995E-4</v>
      </c>
      <c r="E6" s="47">
        <v>3.0000000000000001E-5</v>
      </c>
      <c r="F6" s="12" t="s">
        <v>664</v>
      </c>
      <c r="G6" s="3">
        <v>20</v>
      </c>
      <c r="H6" s="13" t="s">
        <v>160</v>
      </c>
      <c r="J6" s="36">
        <v>90</v>
      </c>
    </row>
    <row r="7" spans="1:10" x14ac:dyDescent="0.15">
      <c r="A7" s="42" t="s">
        <v>30</v>
      </c>
      <c r="B7" s="3">
        <v>4</v>
      </c>
      <c r="C7" s="2" t="s">
        <v>158</v>
      </c>
      <c r="D7" s="4">
        <v>2.2799999999999999E-3</v>
      </c>
      <c r="E7" s="47">
        <v>9.0000000000000006E-5</v>
      </c>
      <c r="F7" s="12" t="s">
        <v>664</v>
      </c>
      <c r="G7" s="3">
        <v>20</v>
      </c>
      <c r="H7" s="13" t="s">
        <v>160</v>
      </c>
      <c r="J7" s="36">
        <v>90</v>
      </c>
    </row>
    <row r="8" spans="1:10" x14ac:dyDescent="0.15">
      <c r="A8" s="42" t="s">
        <v>30</v>
      </c>
      <c r="B8" s="3">
        <v>5</v>
      </c>
      <c r="C8" s="2" t="s">
        <v>517</v>
      </c>
      <c r="D8" s="4">
        <v>5.9999999999999995E-4</v>
      </c>
      <c r="E8" s="47">
        <v>3.0000000000000001E-5</v>
      </c>
      <c r="F8" s="12" t="s">
        <v>664</v>
      </c>
      <c r="G8" s="3">
        <v>20</v>
      </c>
      <c r="H8" s="13" t="s">
        <v>160</v>
      </c>
      <c r="J8" s="36">
        <v>90</v>
      </c>
    </row>
    <row r="9" spans="1:10" x14ac:dyDescent="0.15">
      <c r="A9" s="42" t="s">
        <v>30</v>
      </c>
      <c r="B9" s="3">
        <v>6</v>
      </c>
      <c r="C9" s="2" t="s">
        <v>159</v>
      </c>
      <c r="D9" s="4">
        <v>1.01E-3</v>
      </c>
      <c r="E9" s="47">
        <v>4.0000000000000003E-5</v>
      </c>
      <c r="F9" s="12" t="s">
        <v>664</v>
      </c>
      <c r="G9" s="3">
        <v>20</v>
      </c>
      <c r="H9" s="13" t="s">
        <v>160</v>
      </c>
      <c r="J9" s="36">
        <v>90</v>
      </c>
    </row>
    <row r="10" spans="1:10" x14ac:dyDescent="0.15">
      <c r="A10" s="42" t="s">
        <v>30</v>
      </c>
      <c r="B10" s="3">
        <v>7</v>
      </c>
      <c r="C10" s="2" t="s">
        <v>518</v>
      </c>
      <c r="D10" s="4">
        <v>1.15E-3</v>
      </c>
      <c r="E10" s="47">
        <v>5.0000000000000002E-5</v>
      </c>
      <c r="F10" s="12" t="s">
        <v>664</v>
      </c>
      <c r="G10" s="3">
        <v>20</v>
      </c>
      <c r="H10" s="13" t="s">
        <v>160</v>
      </c>
      <c r="J10" s="36">
        <v>90</v>
      </c>
    </row>
    <row r="11" spans="1:10" x14ac:dyDescent="0.15">
      <c r="A11" s="42" t="s">
        <v>76</v>
      </c>
      <c r="B11" s="3">
        <v>8</v>
      </c>
      <c r="C11" s="2" t="s">
        <v>230</v>
      </c>
      <c r="D11" s="4">
        <v>4.1900000000000002E-5</v>
      </c>
      <c r="E11" s="47"/>
      <c r="F11" s="29">
        <v>7</v>
      </c>
      <c r="G11" s="5">
        <v>25</v>
      </c>
      <c r="H11" s="30" t="s">
        <v>112</v>
      </c>
      <c r="I11" s="31"/>
      <c r="J11" s="36">
        <v>31</v>
      </c>
    </row>
    <row r="12" spans="1:10" x14ac:dyDescent="0.15">
      <c r="A12" s="42" t="s">
        <v>188</v>
      </c>
      <c r="B12" s="3">
        <v>9</v>
      </c>
      <c r="C12" s="2" t="s">
        <v>372</v>
      </c>
      <c r="D12" s="8">
        <v>81.900000000000006</v>
      </c>
      <c r="E12" s="48"/>
      <c r="F12" s="12">
        <v>7</v>
      </c>
      <c r="G12" s="3">
        <v>25</v>
      </c>
      <c r="H12" s="13" t="s">
        <v>355</v>
      </c>
      <c r="J12" s="36">
        <v>48</v>
      </c>
    </row>
    <row r="13" spans="1:10" x14ac:dyDescent="0.15">
      <c r="A13" s="42" t="s">
        <v>30</v>
      </c>
      <c r="B13" s="3">
        <v>10</v>
      </c>
      <c r="C13" s="2" t="s">
        <v>521</v>
      </c>
      <c r="D13" s="6">
        <v>1.1000000000000001</v>
      </c>
      <c r="E13" s="46">
        <v>0.1</v>
      </c>
      <c r="F13" s="12">
        <v>5.6</v>
      </c>
      <c r="G13" s="3">
        <v>23</v>
      </c>
      <c r="H13" s="13" t="s">
        <v>148</v>
      </c>
      <c r="J13" s="36">
        <v>73</v>
      </c>
    </row>
    <row r="14" spans="1:10" x14ac:dyDescent="0.15">
      <c r="A14" s="42" t="s">
        <v>30</v>
      </c>
      <c r="B14" s="3">
        <v>11</v>
      </c>
      <c r="C14" s="2" t="s">
        <v>494</v>
      </c>
      <c r="D14" s="6">
        <v>0.76</v>
      </c>
      <c r="E14" s="46"/>
      <c r="F14" s="12">
        <v>7</v>
      </c>
      <c r="G14" s="3">
        <v>25</v>
      </c>
      <c r="H14" s="13" t="s">
        <v>401</v>
      </c>
      <c r="J14" s="36">
        <v>76</v>
      </c>
    </row>
    <row r="15" spans="1:10" x14ac:dyDescent="0.15">
      <c r="A15" s="42" t="s">
        <v>30</v>
      </c>
      <c r="B15" s="3">
        <v>12</v>
      </c>
      <c r="C15" s="2" t="s">
        <v>396</v>
      </c>
      <c r="D15" s="8">
        <v>30</v>
      </c>
      <c r="E15" s="46">
        <v>9.8994949366116654</v>
      </c>
      <c r="F15" s="12">
        <v>7</v>
      </c>
      <c r="G15" s="3">
        <v>25</v>
      </c>
      <c r="H15" s="13" t="s">
        <v>718</v>
      </c>
      <c r="J15" s="36" t="s">
        <v>719</v>
      </c>
    </row>
    <row r="16" spans="1:10" x14ac:dyDescent="0.15">
      <c r="A16" s="42" t="s">
        <v>30</v>
      </c>
      <c r="B16" s="3">
        <v>13</v>
      </c>
      <c r="C16" s="2" t="s">
        <v>490</v>
      </c>
      <c r="D16" s="6">
        <v>0.67</v>
      </c>
      <c r="E16" s="46"/>
      <c r="F16" s="12">
        <v>7</v>
      </c>
      <c r="G16" s="3">
        <v>25</v>
      </c>
      <c r="H16" s="13" t="s">
        <v>401</v>
      </c>
      <c r="J16" s="36">
        <v>76</v>
      </c>
    </row>
    <row r="17" spans="1:10" x14ac:dyDescent="0.15">
      <c r="A17" s="42" t="s">
        <v>30</v>
      </c>
      <c r="B17" s="3">
        <v>14</v>
      </c>
      <c r="C17" s="2" t="s">
        <v>249</v>
      </c>
      <c r="D17" s="8">
        <v>17.96</v>
      </c>
      <c r="E17" s="48">
        <v>5.4763856693991135</v>
      </c>
      <c r="F17" s="12" t="s">
        <v>721</v>
      </c>
      <c r="G17" s="3" t="s">
        <v>722</v>
      </c>
      <c r="H17" s="13" t="s">
        <v>148</v>
      </c>
      <c r="J17" s="36" t="s">
        <v>720</v>
      </c>
    </row>
    <row r="18" spans="1:10" x14ac:dyDescent="0.15">
      <c r="A18" s="42" t="s">
        <v>30</v>
      </c>
      <c r="B18" s="51">
        <v>14.1</v>
      </c>
      <c r="C18" s="50" t="s">
        <v>249</v>
      </c>
      <c r="D18" s="52">
        <v>74</v>
      </c>
      <c r="E18" s="53">
        <v>7</v>
      </c>
      <c r="F18" s="54">
        <v>7</v>
      </c>
      <c r="G18" s="55">
        <v>25</v>
      </c>
      <c r="H18" s="56" t="s">
        <v>112</v>
      </c>
      <c r="I18" s="57" t="s">
        <v>794</v>
      </c>
      <c r="J18" s="36">
        <v>31</v>
      </c>
    </row>
    <row r="19" spans="1:10" x14ac:dyDescent="0.15">
      <c r="A19" s="42" t="s">
        <v>30</v>
      </c>
      <c r="B19" s="3">
        <v>15</v>
      </c>
      <c r="C19" s="2" t="s">
        <v>72</v>
      </c>
      <c r="D19" s="4">
        <v>3.9100000000000002E-4</v>
      </c>
      <c r="E19" s="47"/>
      <c r="F19" s="12">
        <v>4.5999999999999996</v>
      </c>
      <c r="G19" s="3">
        <v>20</v>
      </c>
      <c r="H19" s="13" t="s">
        <v>66</v>
      </c>
      <c r="J19" s="36">
        <v>3</v>
      </c>
    </row>
    <row r="20" spans="1:10" x14ac:dyDescent="0.15">
      <c r="A20" s="42" t="s">
        <v>76</v>
      </c>
      <c r="B20" s="3">
        <v>16</v>
      </c>
      <c r="C20" s="2" t="s">
        <v>522</v>
      </c>
      <c r="D20" s="7">
        <v>1.7999999999999999E-2</v>
      </c>
      <c r="E20" s="45">
        <v>3.0000000000000001E-3</v>
      </c>
      <c r="F20" s="12">
        <v>5.6</v>
      </c>
      <c r="G20" s="3">
        <v>21</v>
      </c>
      <c r="H20" s="13" t="s">
        <v>148</v>
      </c>
      <c r="J20" s="36">
        <v>28</v>
      </c>
    </row>
    <row r="21" spans="1:10" x14ac:dyDescent="0.15">
      <c r="A21" s="42" t="s">
        <v>76</v>
      </c>
      <c r="B21" s="3">
        <v>17</v>
      </c>
      <c r="C21" s="2" t="s">
        <v>523</v>
      </c>
      <c r="D21" s="8">
        <v>85.1</v>
      </c>
      <c r="E21" s="48">
        <v>6.1</v>
      </c>
      <c r="F21" s="12">
        <v>7</v>
      </c>
      <c r="G21" s="3">
        <v>25</v>
      </c>
      <c r="H21" s="13" t="s">
        <v>452</v>
      </c>
      <c r="J21" s="36">
        <v>67</v>
      </c>
    </row>
    <row r="22" spans="1:10" x14ac:dyDescent="0.15">
      <c r="A22" s="42" t="s">
        <v>30</v>
      </c>
      <c r="B22" s="3">
        <v>18</v>
      </c>
      <c r="C22" s="2" t="s">
        <v>524</v>
      </c>
      <c r="D22" s="7">
        <v>3.4599999999999999E-2</v>
      </c>
      <c r="E22" s="45"/>
      <c r="F22" s="12">
        <v>6.8</v>
      </c>
      <c r="G22" s="3">
        <v>35</v>
      </c>
      <c r="H22" s="13" t="s">
        <v>652</v>
      </c>
      <c r="J22" s="36">
        <v>8</v>
      </c>
    </row>
    <row r="23" spans="1:10" x14ac:dyDescent="0.15">
      <c r="A23" s="42" t="s">
        <v>30</v>
      </c>
      <c r="B23" s="3">
        <v>19</v>
      </c>
      <c r="C23" s="2" t="s">
        <v>525</v>
      </c>
      <c r="D23" s="6">
        <v>0.27400000000000002</v>
      </c>
      <c r="E23" s="46">
        <v>4.3840620433565396E-2</v>
      </c>
      <c r="F23" s="29" t="s">
        <v>723</v>
      </c>
      <c r="G23" s="5" t="s">
        <v>724</v>
      </c>
      <c r="H23" s="30" t="s">
        <v>725</v>
      </c>
      <c r="I23" s="31"/>
      <c r="J23" s="36" t="s">
        <v>726</v>
      </c>
    </row>
    <row r="24" spans="1:10" x14ac:dyDescent="0.15">
      <c r="A24" s="42" t="s">
        <v>30</v>
      </c>
      <c r="B24" s="3">
        <v>20</v>
      </c>
      <c r="C24" s="2" t="s">
        <v>638</v>
      </c>
      <c r="D24" s="5">
        <v>242</v>
      </c>
      <c r="E24" s="9">
        <v>12</v>
      </c>
      <c r="F24" s="12">
        <v>13</v>
      </c>
      <c r="G24" s="3">
        <v>25</v>
      </c>
      <c r="H24" s="13" t="s">
        <v>47</v>
      </c>
      <c r="J24" s="36">
        <v>2</v>
      </c>
    </row>
    <row r="25" spans="1:10" x14ac:dyDescent="0.15">
      <c r="A25" s="42" t="s">
        <v>30</v>
      </c>
      <c r="B25" s="3">
        <v>21</v>
      </c>
      <c r="C25" s="2" t="s">
        <v>365</v>
      </c>
      <c r="D25" s="6">
        <v>9.43</v>
      </c>
      <c r="E25" s="46"/>
      <c r="F25" s="12">
        <v>7</v>
      </c>
      <c r="G25" s="3">
        <v>25</v>
      </c>
      <c r="H25" s="13" t="s">
        <v>368</v>
      </c>
      <c r="J25" s="36">
        <v>47</v>
      </c>
    </row>
    <row r="26" spans="1:10" x14ac:dyDescent="0.15">
      <c r="A26" s="42" t="s">
        <v>76</v>
      </c>
      <c r="B26" s="3">
        <v>22</v>
      </c>
      <c r="C26" s="2" t="s">
        <v>247</v>
      </c>
      <c r="D26" s="8">
        <v>77</v>
      </c>
      <c r="E26" s="48">
        <v>5</v>
      </c>
      <c r="F26" s="29">
        <v>7</v>
      </c>
      <c r="G26" s="5">
        <v>25</v>
      </c>
      <c r="H26" s="30" t="s">
        <v>112</v>
      </c>
      <c r="I26" s="31"/>
      <c r="J26" s="36">
        <v>31</v>
      </c>
    </row>
    <row r="27" spans="1:10" x14ac:dyDescent="0.15">
      <c r="A27" s="42" t="s">
        <v>30</v>
      </c>
      <c r="B27" s="3">
        <v>23</v>
      </c>
      <c r="C27" s="2" t="s">
        <v>399</v>
      </c>
      <c r="D27" s="8">
        <v>17</v>
      </c>
      <c r="E27" s="9">
        <v>4</v>
      </c>
      <c r="F27" s="12">
        <v>7</v>
      </c>
      <c r="G27" s="3">
        <v>25</v>
      </c>
      <c r="H27" s="13" t="s">
        <v>401</v>
      </c>
      <c r="J27" s="36">
        <v>54</v>
      </c>
    </row>
    <row r="28" spans="1:10" x14ac:dyDescent="0.15">
      <c r="A28" s="42" t="s">
        <v>30</v>
      </c>
      <c r="B28" s="3">
        <v>24</v>
      </c>
      <c r="C28" s="2" t="s">
        <v>180</v>
      </c>
      <c r="D28" s="8">
        <v>18.899999999999999</v>
      </c>
      <c r="E28" s="48">
        <v>0.28284271247462051</v>
      </c>
      <c r="F28" s="12">
        <v>7</v>
      </c>
      <c r="G28" s="3" t="s">
        <v>727</v>
      </c>
      <c r="H28" s="13" t="s">
        <v>728</v>
      </c>
      <c r="J28" s="36" t="s">
        <v>729</v>
      </c>
    </row>
    <row r="29" spans="1:10" x14ac:dyDescent="0.15">
      <c r="A29" s="42" t="s">
        <v>30</v>
      </c>
      <c r="B29" s="51">
        <v>24.1</v>
      </c>
      <c r="C29" s="50" t="s">
        <v>180</v>
      </c>
      <c r="D29" s="58">
        <v>3.8</v>
      </c>
      <c r="E29" s="59">
        <v>3.171080139372822E-2</v>
      </c>
      <c r="F29" s="60">
        <v>5.3</v>
      </c>
      <c r="G29" s="51">
        <v>22</v>
      </c>
      <c r="H29" s="61" t="s">
        <v>686</v>
      </c>
      <c r="I29" s="62" t="s">
        <v>795</v>
      </c>
      <c r="J29" s="36">
        <v>46</v>
      </c>
    </row>
    <row r="30" spans="1:10" x14ac:dyDescent="0.15">
      <c r="A30" s="42" t="s">
        <v>30</v>
      </c>
      <c r="B30" s="51">
        <v>24.2</v>
      </c>
      <c r="C30" s="50" t="s">
        <v>180</v>
      </c>
      <c r="D30" s="52">
        <v>43.976666666666667</v>
      </c>
      <c r="E30" s="53"/>
      <c r="F30" s="60">
        <v>7.2</v>
      </c>
      <c r="G30" s="51">
        <v>16</v>
      </c>
      <c r="H30" s="61" t="s">
        <v>178</v>
      </c>
      <c r="I30" s="62" t="s">
        <v>793</v>
      </c>
      <c r="J30" s="36">
        <v>25</v>
      </c>
    </row>
    <row r="31" spans="1:10" x14ac:dyDescent="0.15">
      <c r="A31" s="42" t="s">
        <v>30</v>
      </c>
      <c r="B31" s="51">
        <v>24.3</v>
      </c>
      <c r="C31" s="50" t="s">
        <v>180</v>
      </c>
      <c r="D31" s="55">
        <v>142</v>
      </c>
      <c r="E31" s="63">
        <v>3</v>
      </c>
      <c r="F31" s="54">
        <v>7</v>
      </c>
      <c r="G31" s="55">
        <v>25</v>
      </c>
      <c r="H31" s="56" t="s">
        <v>112</v>
      </c>
      <c r="I31" s="57" t="s">
        <v>796</v>
      </c>
      <c r="J31" s="36">
        <v>31</v>
      </c>
    </row>
    <row r="32" spans="1:10" x14ac:dyDescent="0.15">
      <c r="A32" s="42" t="s">
        <v>76</v>
      </c>
      <c r="B32" s="3">
        <v>25</v>
      </c>
      <c r="C32" s="2" t="s">
        <v>240</v>
      </c>
      <c r="D32" s="7">
        <v>6.0149999999999995E-2</v>
      </c>
      <c r="E32" s="45">
        <v>5.8689862838483412E-3</v>
      </c>
      <c r="F32" s="29">
        <v>7</v>
      </c>
      <c r="G32" s="5">
        <v>25</v>
      </c>
      <c r="H32" s="30" t="s">
        <v>112</v>
      </c>
      <c r="I32" s="31"/>
      <c r="J32" s="36">
        <v>31</v>
      </c>
    </row>
    <row r="33" spans="1:10" x14ac:dyDescent="0.15">
      <c r="A33" s="42" t="s">
        <v>30</v>
      </c>
      <c r="B33" s="3">
        <v>26</v>
      </c>
      <c r="C33" s="2" t="s">
        <v>254</v>
      </c>
      <c r="D33" s="8">
        <v>14.47</v>
      </c>
      <c r="E33" s="48"/>
      <c r="F33" s="12">
        <v>7</v>
      </c>
      <c r="G33" s="3">
        <v>25</v>
      </c>
      <c r="H33" s="13" t="s">
        <v>368</v>
      </c>
      <c r="J33" s="36">
        <v>47</v>
      </c>
    </row>
    <row r="34" spans="1:10" x14ac:dyDescent="0.15">
      <c r="A34" s="42" t="s">
        <v>76</v>
      </c>
      <c r="B34" s="51">
        <v>26.1</v>
      </c>
      <c r="C34" s="50" t="s">
        <v>254</v>
      </c>
      <c r="D34" s="55">
        <v>120</v>
      </c>
      <c r="E34" s="63">
        <v>9</v>
      </c>
      <c r="F34" s="54">
        <v>7</v>
      </c>
      <c r="G34" s="55">
        <v>25</v>
      </c>
      <c r="H34" s="61" t="s">
        <v>112</v>
      </c>
      <c r="I34" s="62" t="s">
        <v>797</v>
      </c>
      <c r="J34" s="36">
        <v>31</v>
      </c>
    </row>
    <row r="35" spans="1:10" x14ac:dyDescent="0.15">
      <c r="A35" s="42" t="s">
        <v>30</v>
      </c>
      <c r="B35" s="3">
        <v>27</v>
      </c>
      <c r="C35" s="2" t="s">
        <v>555</v>
      </c>
      <c r="D35" s="3">
        <v>88</v>
      </c>
      <c r="E35" s="24">
        <v>5.5</v>
      </c>
      <c r="F35" s="12">
        <v>5.3</v>
      </c>
      <c r="G35" s="5">
        <v>23</v>
      </c>
      <c r="H35" s="13" t="s">
        <v>148</v>
      </c>
      <c r="J35" s="36">
        <v>83</v>
      </c>
    </row>
    <row r="36" spans="1:10" x14ac:dyDescent="0.15">
      <c r="A36" s="42" t="s">
        <v>76</v>
      </c>
      <c r="B36" s="3">
        <v>28</v>
      </c>
      <c r="C36" s="2" t="s">
        <v>519</v>
      </c>
      <c r="D36" s="4">
        <v>5.6300000000000002E-4</v>
      </c>
      <c r="E36" s="47"/>
      <c r="F36" s="29">
        <v>7</v>
      </c>
      <c r="G36" s="5">
        <v>25</v>
      </c>
      <c r="H36" s="30" t="s">
        <v>112</v>
      </c>
      <c r="I36" s="31"/>
      <c r="J36" s="36">
        <v>31</v>
      </c>
    </row>
    <row r="37" spans="1:10" x14ac:dyDescent="0.15">
      <c r="A37" s="42" t="s">
        <v>76</v>
      </c>
      <c r="B37" s="51">
        <v>29.1</v>
      </c>
      <c r="C37" s="50" t="s">
        <v>685</v>
      </c>
      <c r="D37" s="58">
        <v>0.16</v>
      </c>
      <c r="E37" s="59"/>
      <c r="F37" s="54">
        <v>7</v>
      </c>
      <c r="G37" s="55">
        <v>22</v>
      </c>
      <c r="H37" s="56" t="s">
        <v>112</v>
      </c>
      <c r="I37" s="62" t="s">
        <v>833</v>
      </c>
      <c r="J37" s="23">
        <v>31</v>
      </c>
    </row>
    <row r="38" spans="1:10" x14ac:dyDescent="0.15">
      <c r="A38" s="42" t="s">
        <v>76</v>
      </c>
      <c r="B38" s="3">
        <v>29</v>
      </c>
      <c r="C38" s="2" t="s">
        <v>685</v>
      </c>
      <c r="D38" s="40">
        <v>1.1800000000000001E-3</v>
      </c>
      <c r="E38" s="47">
        <v>2.0000000000000002E-5</v>
      </c>
      <c r="F38" s="12">
        <v>7</v>
      </c>
      <c r="G38" s="3">
        <v>25</v>
      </c>
      <c r="H38" s="13" t="s">
        <v>63</v>
      </c>
      <c r="J38" s="36">
        <v>45</v>
      </c>
    </row>
    <row r="39" spans="1:10" x14ac:dyDescent="0.15">
      <c r="A39" s="42" t="s">
        <v>30</v>
      </c>
      <c r="B39" s="3">
        <v>30</v>
      </c>
      <c r="C39" s="2" t="s">
        <v>400</v>
      </c>
      <c r="D39" s="8">
        <v>49</v>
      </c>
      <c r="E39" s="9">
        <v>4</v>
      </c>
      <c r="F39" s="12">
        <v>7</v>
      </c>
      <c r="G39" s="3">
        <v>25</v>
      </c>
      <c r="H39" s="13" t="s">
        <v>401</v>
      </c>
      <c r="J39" s="36">
        <v>54</v>
      </c>
    </row>
    <row r="40" spans="1:10" x14ac:dyDescent="0.15">
      <c r="A40" s="42" t="s">
        <v>30</v>
      </c>
      <c r="B40" s="3">
        <v>31</v>
      </c>
      <c r="C40" s="2" t="s">
        <v>181</v>
      </c>
      <c r="D40" s="5">
        <v>37.832499999999996</v>
      </c>
      <c r="E40" s="9">
        <v>8.2554716703529696</v>
      </c>
      <c r="F40" s="2" t="s">
        <v>730</v>
      </c>
      <c r="G40" s="3" t="s">
        <v>731</v>
      </c>
      <c r="H40" s="13" t="s">
        <v>728</v>
      </c>
      <c r="J40" s="36" t="s">
        <v>732</v>
      </c>
    </row>
    <row r="41" spans="1:10" x14ac:dyDescent="0.15">
      <c r="A41" s="42" t="s">
        <v>30</v>
      </c>
      <c r="B41" s="51">
        <v>31.1</v>
      </c>
      <c r="C41" s="50" t="s">
        <v>181</v>
      </c>
      <c r="D41" s="52">
        <v>12.9</v>
      </c>
      <c r="E41" s="67">
        <v>4.1692268041237122E-2</v>
      </c>
      <c r="F41" s="60">
        <v>5.3</v>
      </c>
      <c r="G41" s="51">
        <v>22</v>
      </c>
      <c r="H41" s="61" t="s">
        <v>686</v>
      </c>
      <c r="I41" s="62" t="s">
        <v>798</v>
      </c>
      <c r="J41" s="36">
        <v>46</v>
      </c>
    </row>
    <row r="42" spans="1:10" x14ac:dyDescent="0.15">
      <c r="A42" s="42" t="s">
        <v>30</v>
      </c>
      <c r="B42" s="51">
        <v>31.2</v>
      </c>
      <c r="C42" s="50" t="s">
        <v>181</v>
      </c>
      <c r="D42" s="55">
        <v>356.66666666666669</v>
      </c>
      <c r="E42" s="63">
        <v>16.666666666666668</v>
      </c>
      <c r="F42" s="60">
        <v>7</v>
      </c>
      <c r="G42" s="51">
        <v>25</v>
      </c>
      <c r="H42" s="61" t="s">
        <v>430</v>
      </c>
      <c r="I42" s="62" t="s">
        <v>799</v>
      </c>
      <c r="J42" s="36">
        <v>87</v>
      </c>
    </row>
    <row r="43" spans="1:10" x14ac:dyDescent="0.15">
      <c r="A43" s="42" t="s">
        <v>30</v>
      </c>
      <c r="B43" s="3">
        <v>32</v>
      </c>
      <c r="C43" s="2" t="s">
        <v>556</v>
      </c>
      <c r="D43" s="3">
        <v>399</v>
      </c>
      <c r="E43" s="24">
        <v>58</v>
      </c>
      <c r="F43" s="12">
        <v>5.3</v>
      </c>
      <c r="G43" s="5">
        <v>23</v>
      </c>
      <c r="H43" s="13" t="s">
        <v>148</v>
      </c>
      <c r="J43" s="36">
        <v>83</v>
      </c>
    </row>
    <row r="44" spans="1:10" x14ac:dyDescent="0.15">
      <c r="A44" s="42" t="s">
        <v>30</v>
      </c>
      <c r="B44" s="3">
        <v>33</v>
      </c>
      <c r="C44" s="2" t="s">
        <v>495</v>
      </c>
      <c r="D44" s="6">
        <v>1.57</v>
      </c>
      <c r="E44" s="46"/>
      <c r="F44" s="12">
        <v>7</v>
      </c>
      <c r="G44" s="3">
        <v>25</v>
      </c>
      <c r="H44" s="13" t="s">
        <v>401</v>
      </c>
      <c r="J44" s="36">
        <v>76</v>
      </c>
    </row>
    <row r="45" spans="1:10" x14ac:dyDescent="0.15">
      <c r="A45" s="42" t="s">
        <v>30</v>
      </c>
      <c r="B45" s="3">
        <v>34</v>
      </c>
      <c r="C45" s="2" t="s">
        <v>736</v>
      </c>
      <c r="D45" s="5">
        <v>684</v>
      </c>
      <c r="E45" s="9">
        <v>2</v>
      </c>
      <c r="F45" s="12">
        <v>13.7</v>
      </c>
      <c r="G45" s="3">
        <v>15</v>
      </c>
      <c r="H45" s="13" t="s">
        <v>118</v>
      </c>
      <c r="J45" s="36">
        <v>12</v>
      </c>
    </row>
    <row r="46" spans="1:10" x14ac:dyDescent="0.15">
      <c r="A46" s="42" t="s">
        <v>30</v>
      </c>
      <c r="B46" s="3">
        <v>35</v>
      </c>
      <c r="C46" s="2" t="s">
        <v>397</v>
      </c>
      <c r="D46" s="6">
        <v>2.2000000000000002</v>
      </c>
      <c r="E46" s="46">
        <v>1.1313708498984749</v>
      </c>
      <c r="F46" s="12">
        <v>7</v>
      </c>
      <c r="G46" s="3">
        <v>25</v>
      </c>
      <c r="H46" s="13" t="s">
        <v>718</v>
      </c>
      <c r="J46" s="36" t="s">
        <v>719</v>
      </c>
    </row>
    <row r="47" spans="1:10" x14ac:dyDescent="0.15">
      <c r="A47" s="42" t="s">
        <v>30</v>
      </c>
      <c r="B47" s="3">
        <v>36</v>
      </c>
      <c r="C47" s="2" t="s">
        <v>492</v>
      </c>
      <c r="D47" s="6">
        <v>0.72</v>
      </c>
      <c r="E47" s="46"/>
      <c r="F47" s="12">
        <v>7</v>
      </c>
      <c r="G47" s="3">
        <v>25</v>
      </c>
      <c r="H47" s="13" t="s">
        <v>401</v>
      </c>
      <c r="J47" s="36">
        <v>76</v>
      </c>
    </row>
    <row r="48" spans="1:10" x14ac:dyDescent="0.15">
      <c r="A48" s="42" t="s">
        <v>30</v>
      </c>
      <c r="B48" s="3">
        <v>37</v>
      </c>
      <c r="C48" s="2" t="s">
        <v>735</v>
      </c>
      <c r="D48" s="5">
        <v>855</v>
      </c>
      <c r="E48" s="9">
        <v>4</v>
      </c>
      <c r="F48" s="12">
        <v>11.3</v>
      </c>
      <c r="G48" s="3">
        <v>25</v>
      </c>
      <c r="H48" s="13" t="s">
        <v>658</v>
      </c>
      <c r="J48" s="36">
        <v>12</v>
      </c>
    </row>
    <row r="49" spans="1:10" x14ac:dyDescent="0.15">
      <c r="A49" s="42" t="s">
        <v>30</v>
      </c>
      <c r="B49" s="3">
        <v>38</v>
      </c>
      <c r="C49" s="2" t="s">
        <v>252</v>
      </c>
      <c r="D49" s="6">
        <v>2.13</v>
      </c>
      <c r="E49" s="46"/>
      <c r="F49" s="12">
        <v>7</v>
      </c>
      <c r="G49" s="3">
        <v>25</v>
      </c>
      <c r="H49" s="13" t="s">
        <v>368</v>
      </c>
      <c r="J49" s="36">
        <v>47</v>
      </c>
    </row>
    <row r="50" spans="1:10" x14ac:dyDescent="0.15">
      <c r="A50" s="42" t="s">
        <v>30</v>
      </c>
      <c r="B50" s="51">
        <v>38.1</v>
      </c>
      <c r="C50" s="50" t="s">
        <v>252</v>
      </c>
      <c r="D50" s="58">
        <v>0.95</v>
      </c>
      <c r="E50" s="59">
        <v>7.3591549295774653E-4</v>
      </c>
      <c r="F50" s="60">
        <v>5.3</v>
      </c>
      <c r="G50" s="51">
        <v>22</v>
      </c>
      <c r="H50" s="61" t="s">
        <v>686</v>
      </c>
      <c r="I50" s="62" t="s">
        <v>800</v>
      </c>
      <c r="J50" s="36">
        <v>46</v>
      </c>
    </row>
    <row r="51" spans="1:10" x14ac:dyDescent="0.15">
      <c r="A51" s="42" t="s">
        <v>30</v>
      </c>
      <c r="B51" s="51">
        <v>38.200000000000003</v>
      </c>
      <c r="C51" s="50" t="s">
        <v>252</v>
      </c>
      <c r="D51" s="52">
        <v>13.4</v>
      </c>
      <c r="E51" s="53">
        <v>0.7</v>
      </c>
      <c r="F51" s="54">
        <v>7</v>
      </c>
      <c r="G51" s="55">
        <v>25</v>
      </c>
      <c r="H51" s="56" t="s">
        <v>112</v>
      </c>
      <c r="I51" s="57" t="s">
        <v>801</v>
      </c>
      <c r="J51" s="36">
        <v>31</v>
      </c>
    </row>
    <row r="52" spans="1:10" x14ac:dyDescent="0.15">
      <c r="A52" s="42" t="s">
        <v>30</v>
      </c>
      <c r="B52" s="3">
        <v>39</v>
      </c>
      <c r="C52" s="2" t="s">
        <v>558</v>
      </c>
      <c r="D52" s="3">
        <v>2.67</v>
      </c>
      <c r="E52" s="24">
        <v>0.43</v>
      </c>
      <c r="F52" s="12">
        <v>5.3</v>
      </c>
      <c r="G52" s="5">
        <v>23</v>
      </c>
      <c r="H52" s="13" t="s">
        <v>148</v>
      </c>
      <c r="J52" s="36">
        <v>83</v>
      </c>
    </row>
    <row r="53" spans="1:10" x14ac:dyDescent="0.15">
      <c r="A53" s="42" t="s">
        <v>30</v>
      </c>
      <c r="B53" s="3">
        <v>40</v>
      </c>
      <c r="C53" s="2" t="s">
        <v>733</v>
      </c>
      <c r="D53" s="5">
        <v>880</v>
      </c>
      <c r="E53" s="9">
        <v>16</v>
      </c>
      <c r="F53" s="12">
        <v>11.3</v>
      </c>
      <c r="G53" s="3">
        <v>25</v>
      </c>
      <c r="H53" s="13" t="s">
        <v>658</v>
      </c>
      <c r="J53" s="36">
        <v>12</v>
      </c>
    </row>
    <row r="54" spans="1:10" x14ac:dyDescent="0.15">
      <c r="A54" s="42" t="s">
        <v>188</v>
      </c>
      <c r="B54" s="3">
        <v>41</v>
      </c>
      <c r="C54" s="2" t="s">
        <v>623</v>
      </c>
      <c r="D54" s="3">
        <v>305</v>
      </c>
      <c r="E54" s="9">
        <v>13.333333333333334</v>
      </c>
      <c r="F54" s="12">
        <v>7</v>
      </c>
      <c r="G54" s="3">
        <v>25</v>
      </c>
      <c r="H54" s="13" t="s">
        <v>430</v>
      </c>
      <c r="J54" s="36">
        <v>87</v>
      </c>
    </row>
    <row r="55" spans="1:10" x14ac:dyDescent="0.15">
      <c r="A55" s="42" t="s">
        <v>76</v>
      </c>
      <c r="B55" s="3">
        <v>42</v>
      </c>
      <c r="C55" s="2" t="s">
        <v>526</v>
      </c>
      <c r="D55" s="8">
        <v>23.1</v>
      </c>
      <c r="E55" s="48">
        <v>1.7</v>
      </c>
      <c r="F55" s="12">
        <v>7</v>
      </c>
      <c r="G55" s="3">
        <v>25</v>
      </c>
      <c r="H55" s="13" t="s">
        <v>452</v>
      </c>
      <c r="J55" s="36">
        <v>67</v>
      </c>
    </row>
    <row r="56" spans="1:10" x14ac:dyDescent="0.15">
      <c r="A56" s="42" t="s">
        <v>30</v>
      </c>
      <c r="B56" s="51">
        <v>42.1</v>
      </c>
      <c r="C56" s="50" t="s">
        <v>526</v>
      </c>
      <c r="D56" s="52">
        <v>67.333333333333329</v>
      </c>
      <c r="E56" s="53">
        <v>3.3333333333333335</v>
      </c>
      <c r="F56" s="60">
        <v>7</v>
      </c>
      <c r="G56" s="51">
        <v>25</v>
      </c>
      <c r="H56" s="61" t="s">
        <v>430</v>
      </c>
      <c r="I56" s="62" t="s">
        <v>802</v>
      </c>
      <c r="J56" s="36">
        <v>87</v>
      </c>
    </row>
    <row r="57" spans="1:10" x14ac:dyDescent="0.15">
      <c r="A57" s="42" t="s">
        <v>30</v>
      </c>
      <c r="B57" s="51">
        <v>42.2</v>
      </c>
      <c r="C57" s="50" t="s">
        <v>526</v>
      </c>
      <c r="D57" s="52">
        <v>98</v>
      </c>
      <c r="E57" s="53">
        <v>4</v>
      </c>
      <c r="F57" s="54">
        <v>7</v>
      </c>
      <c r="G57" s="55">
        <v>25</v>
      </c>
      <c r="H57" s="61" t="s">
        <v>112</v>
      </c>
      <c r="I57" s="62" t="s">
        <v>803</v>
      </c>
      <c r="J57" s="36">
        <v>31</v>
      </c>
    </row>
    <row r="58" spans="1:10" x14ac:dyDescent="0.15">
      <c r="A58" s="42" t="s">
        <v>30</v>
      </c>
      <c r="B58" s="3">
        <v>43</v>
      </c>
      <c r="C58" s="2" t="s">
        <v>527</v>
      </c>
      <c r="D58" s="6">
        <v>0.1782</v>
      </c>
      <c r="E58" s="46"/>
      <c r="F58" s="12">
        <v>6.8</v>
      </c>
      <c r="G58" s="3">
        <v>35</v>
      </c>
      <c r="H58" s="13" t="s">
        <v>652</v>
      </c>
      <c r="J58" s="36">
        <v>8</v>
      </c>
    </row>
    <row r="59" spans="1:10" x14ac:dyDescent="0.15">
      <c r="A59" s="42" t="s">
        <v>30</v>
      </c>
      <c r="B59" s="3">
        <v>44</v>
      </c>
      <c r="C59" s="2" t="s">
        <v>738</v>
      </c>
      <c r="D59" s="5">
        <v>965</v>
      </c>
      <c r="E59" s="9">
        <v>6</v>
      </c>
      <c r="F59" s="12">
        <v>11.3</v>
      </c>
      <c r="G59" s="3">
        <v>25</v>
      </c>
      <c r="H59" s="13" t="s">
        <v>658</v>
      </c>
      <c r="J59" s="36">
        <v>12</v>
      </c>
    </row>
    <row r="60" spans="1:10" x14ac:dyDescent="0.15">
      <c r="A60" s="42" t="s">
        <v>30</v>
      </c>
      <c r="B60" s="3">
        <v>45</v>
      </c>
      <c r="C60" s="2" t="s">
        <v>528</v>
      </c>
      <c r="D60" s="6">
        <v>0.86960000000000004</v>
      </c>
      <c r="E60" s="46"/>
      <c r="F60" s="12">
        <v>6.8</v>
      </c>
      <c r="G60" s="3">
        <v>35</v>
      </c>
      <c r="H60" s="13" t="s">
        <v>652</v>
      </c>
      <c r="J60" s="36">
        <v>8</v>
      </c>
    </row>
    <row r="61" spans="1:10" x14ac:dyDescent="0.15">
      <c r="A61" s="42" t="s">
        <v>30</v>
      </c>
      <c r="B61" s="3">
        <v>46</v>
      </c>
      <c r="C61" s="2" t="s">
        <v>639</v>
      </c>
      <c r="D61" s="5">
        <v>455</v>
      </c>
      <c r="E61" s="9">
        <v>23</v>
      </c>
      <c r="F61" s="12">
        <v>13</v>
      </c>
      <c r="G61" s="3">
        <v>25</v>
      </c>
      <c r="H61" s="13" t="s">
        <v>47</v>
      </c>
      <c r="J61" s="36">
        <v>2</v>
      </c>
    </row>
    <row r="62" spans="1:10" x14ac:dyDescent="0.15">
      <c r="A62" s="42" t="s">
        <v>30</v>
      </c>
      <c r="B62" s="3">
        <v>47</v>
      </c>
      <c r="C62" s="2" t="s">
        <v>737</v>
      </c>
      <c r="D62" s="5">
        <v>834</v>
      </c>
      <c r="E62" s="9">
        <v>39</v>
      </c>
      <c r="F62" s="12">
        <v>11.3</v>
      </c>
      <c r="G62" s="3">
        <v>25</v>
      </c>
      <c r="H62" s="13" t="s">
        <v>658</v>
      </c>
      <c r="J62" s="36">
        <v>12</v>
      </c>
    </row>
    <row r="63" spans="1:10" x14ac:dyDescent="0.15">
      <c r="A63" s="42" t="s">
        <v>30</v>
      </c>
      <c r="B63" s="3">
        <v>48</v>
      </c>
      <c r="C63" s="2" t="s">
        <v>367</v>
      </c>
      <c r="D63" s="6">
        <v>1.93</v>
      </c>
      <c r="E63" s="46"/>
      <c r="F63" s="12">
        <v>7</v>
      </c>
      <c r="G63" s="3">
        <v>25</v>
      </c>
      <c r="H63" s="13" t="s">
        <v>368</v>
      </c>
      <c r="J63" s="36">
        <v>47</v>
      </c>
    </row>
    <row r="64" spans="1:10" x14ac:dyDescent="0.15">
      <c r="A64" s="42" t="s">
        <v>30</v>
      </c>
      <c r="B64" s="3">
        <v>49</v>
      </c>
      <c r="C64" s="2" t="s">
        <v>496</v>
      </c>
      <c r="D64" s="6">
        <v>1.67</v>
      </c>
      <c r="E64" s="46"/>
      <c r="F64" s="12">
        <v>7</v>
      </c>
      <c r="G64" s="3">
        <v>25</v>
      </c>
      <c r="H64" s="13" t="s">
        <v>401</v>
      </c>
      <c r="J64" s="36">
        <v>76</v>
      </c>
    </row>
    <row r="65" spans="1:10" x14ac:dyDescent="0.15">
      <c r="A65" s="42" t="s">
        <v>30</v>
      </c>
      <c r="B65" s="3">
        <v>50</v>
      </c>
      <c r="C65" s="2" t="s">
        <v>637</v>
      </c>
      <c r="D65" s="5">
        <v>325</v>
      </c>
      <c r="E65" s="9">
        <v>16</v>
      </c>
      <c r="F65" s="12">
        <v>13</v>
      </c>
      <c r="G65" s="3">
        <v>25</v>
      </c>
      <c r="H65" s="13" t="s">
        <v>47</v>
      </c>
      <c r="J65" s="36">
        <v>2</v>
      </c>
    </row>
    <row r="66" spans="1:10" x14ac:dyDescent="0.15">
      <c r="A66" s="42" t="s">
        <v>30</v>
      </c>
      <c r="B66" s="3">
        <v>51</v>
      </c>
      <c r="C66" s="2" t="s">
        <v>398</v>
      </c>
      <c r="D66" s="6">
        <v>6.75</v>
      </c>
      <c r="E66" s="46">
        <v>4.0112342240263157</v>
      </c>
      <c r="F66" s="12">
        <v>7</v>
      </c>
      <c r="G66" s="3">
        <v>25</v>
      </c>
      <c r="H66" s="13" t="s">
        <v>718</v>
      </c>
      <c r="J66" s="36" t="s">
        <v>719</v>
      </c>
    </row>
    <row r="67" spans="1:10" x14ac:dyDescent="0.15">
      <c r="A67" s="42" t="s">
        <v>30</v>
      </c>
      <c r="B67" s="3">
        <v>52</v>
      </c>
      <c r="C67" s="2" t="s">
        <v>493</v>
      </c>
      <c r="D67" s="6">
        <v>1.1299999999999999</v>
      </c>
      <c r="E67" s="46"/>
      <c r="F67" s="12">
        <v>7</v>
      </c>
      <c r="G67" s="3">
        <v>25</v>
      </c>
      <c r="H67" s="13" t="s">
        <v>401</v>
      </c>
      <c r="J67" s="36">
        <v>76</v>
      </c>
    </row>
    <row r="68" spans="1:10" x14ac:dyDescent="0.15">
      <c r="A68" s="42" t="s">
        <v>30</v>
      </c>
      <c r="B68" s="3">
        <v>53</v>
      </c>
      <c r="C68" s="2" t="s">
        <v>734</v>
      </c>
      <c r="D68" s="5">
        <v>678</v>
      </c>
      <c r="E68" s="9">
        <v>16</v>
      </c>
      <c r="F68" s="12">
        <v>11.3</v>
      </c>
      <c r="G68" s="3">
        <v>25</v>
      </c>
      <c r="H68" s="13" t="s">
        <v>658</v>
      </c>
      <c r="J68" s="36">
        <v>12</v>
      </c>
    </row>
    <row r="69" spans="1:10" x14ac:dyDescent="0.15">
      <c r="A69" s="42" t="s">
        <v>30</v>
      </c>
      <c r="B69" s="51">
        <v>53.1</v>
      </c>
      <c r="C69" s="50" t="s">
        <v>734</v>
      </c>
      <c r="D69" s="55">
        <v>302</v>
      </c>
      <c r="E69" s="63">
        <v>15</v>
      </c>
      <c r="F69" s="60">
        <v>13</v>
      </c>
      <c r="G69" s="51">
        <v>0.5</v>
      </c>
      <c r="H69" s="61" t="s">
        <v>47</v>
      </c>
      <c r="I69" s="62" t="s">
        <v>804</v>
      </c>
      <c r="J69" s="36">
        <v>2</v>
      </c>
    </row>
    <row r="70" spans="1:10" x14ac:dyDescent="0.15">
      <c r="A70" s="42" t="s">
        <v>30</v>
      </c>
      <c r="B70" s="51">
        <v>54.2</v>
      </c>
      <c r="C70" s="50" t="s">
        <v>179</v>
      </c>
      <c r="D70" s="52">
        <v>59.381666666666661</v>
      </c>
      <c r="E70" s="53"/>
      <c r="F70" s="60">
        <v>7.2</v>
      </c>
      <c r="G70" s="51">
        <v>16</v>
      </c>
      <c r="H70" s="61" t="s">
        <v>178</v>
      </c>
      <c r="I70" s="62" t="s">
        <v>806</v>
      </c>
      <c r="J70" s="36">
        <v>25</v>
      </c>
    </row>
    <row r="71" spans="1:10" x14ac:dyDescent="0.15">
      <c r="A71" s="42" t="s">
        <v>30</v>
      </c>
      <c r="B71" s="3">
        <v>54</v>
      </c>
      <c r="C71" s="2" t="s">
        <v>179</v>
      </c>
      <c r="D71" s="6">
        <v>8.4</v>
      </c>
      <c r="E71" s="46"/>
      <c r="F71" s="12">
        <v>7</v>
      </c>
      <c r="G71" s="3">
        <v>25</v>
      </c>
      <c r="H71" s="13" t="s">
        <v>368</v>
      </c>
      <c r="J71" s="36">
        <v>47</v>
      </c>
    </row>
    <row r="72" spans="1:10" x14ac:dyDescent="0.15">
      <c r="A72" s="42" t="s">
        <v>30</v>
      </c>
      <c r="B72" s="51">
        <v>54.1</v>
      </c>
      <c r="C72" s="50" t="s">
        <v>179</v>
      </c>
      <c r="D72" s="58">
        <v>4.2</v>
      </c>
      <c r="E72" s="59">
        <v>1.476038338658147E-2</v>
      </c>
      <c r="F72" s="60">
        <v>5.3</v>
      </c>
      <c r="G72" s="51">
        <v>22</v>
      </c>
      <c r="H72" s="61" t="s">
        <v>686</v>
      </c>
      <c r="I72" s="62" t="s">
        <v>805</v>
      </c>
      <c r="J72" s="36">
        <v>46</v>
      </c>
    </row>
    <row r="73" spans="1:10" x14ac:dyDescent="0.15">
      <c r="A73" s="42" t="s">
        <v>30</v>
      </c>
      <c r="B73" s="3">
        <v>55</v>
      </c>
      <c r="C73" s="2" t="s">
        <v>557</v>
      </c>
      <c r="D73" s="3">
        <v>8.6300000000000008</v>
      </c>
      <c r="E73" s="24">
        <v>0.57999999999999996</v>
      </c>
      <c r="F73" s="12">
        <v>5.3</v>
      </c>
      <c r="G73" s="5">
        <v>23</v>
      </c>
      <c r="H73" s="13" t="s">
        <v>148</v>
      </c>
      <c r="J73" s="36">
        <v>83</v>
      </c>
    </row>
    <row r="74" spans="1:10" x14ac:dyDescent="0.15">
      <c r="A74" s="42" t="s">
        <v>30</v>
      </c>
      <c r="B74" s="3">
        <v>56</v>
      </c>
      <c r="C74" s="2" t="s">
        <v>451</v>
      </c>
      <c r="D74" s="6">
        <v>0.48</v>
      </c>
      <c r="E74" s="46">
        <v>3.2000000000000001E-2</v>
      </c>
      <c r="F74" s="12">
        <v>7</v>
      </c>
      <c r="G74" s="3">
        <v>25</v>
      </c>
      <c r="H74" s="13" t="s">
        <v>452</v>
      </c>
      <c r="J74" s="36">
        <v>67</v>
      </c>
    </row>
    <row r="75" spans="1:10" x14ac:dyDescent="0.15">
      <c r="A75" s="42" t="s">
        <v>30</v>
      </c>
      <c r="B75" s="3">
        <v>57</v>
      </c>
      <c r="C75" s="2" t="s">
        <v>643</v>
      </c>
      <c r="D75" s="5">
        <v>272</v>
      </c>
      <c r="E75" s="9">
        <v>14</v>
      </c>
      <c r="F75" s="12">
        <v>6.5</v>
      </c>
      <c r="G75" s="3">
        <v>0.5</v>
      </c>
      <c r="H75" s="13" t="s">
        <v>46</v>
      </c>
      <c r="J75" s="36">
        <v>2</v>
      </c>
    </row>
    <row r="76" spans="1:10" x14ac:dyDescent="0.15">
      <c r="A76" s="42" t="s">
        <v>30</v>
      </c>
      <c r="B76" s="3">
        <v>58</v>
      </c>
      <c r="C76" s="2" t="s">
        <v>491</v>
      </c>
      <c r="D76" s="5">
        <v>305.27999999999997</v>
      </c>
      <c r="E76" s="9"/>
      <c r="F76" s="12">
        <v>7</v>
      </c>
      <c r="G76" s="3">
        <v>25</v>
      </c>
      <c r="H76" s="13" t="s">
        <v>401</v>
      </c>
      <c r="J76" s="36">
        <v>76</v>
      </c>
    </row>
    <row r="77" spans="1:10" x14ac:dyDescent="0.15">
      <c r="A77" s="42" t="s">
        <v>30</v>
      </c>
      <c r="B77" s="3">
        <v>59</v>
      </c>
      <c r="C77" s="2" t="s">
        <v>642</v>
      </c>
      <c r="D77" s="5">
        <v>699</v>
      </c>
      <c r="E77" s="9">
        <v>11</v>
      </c>
      <c r="F77" s="12">
        <v>11.3</v>
      </c>
      <c r="G77" s="3">
        <v>25</v>
      </c>
      <c r="H77" s="13" t="s">
        <v>658</v>
      </c>
      <c r="I77" s="1" t="s">
        <v>807</v>
      </c>
      <c r="J77" s="36">
        <v>12</v>
      </c>
    </row>
    <row r="78" spans="1:10" x14ac:dyDescent="0.15">
      <c r="A78" s="42" t="s">
        <v>30</v>
      </c>
      <c r="B78" s="51">
        <v>59.1</v>
      </c>
      <c r="C78" s="50" t="s">
        <v>642</v>
      </c>
      <c r="D78" s="55">
        <v>260</v>
      </c>
      <c r="E78" s="63">
        <v>14</v>
      </c>
      <c r="F78" s="60">
        <v>6.5</v>
      </c>
      <c r="G78" s="51">
        <v>0.5</v>
      </c>
      <c r="H78" s="61" t="s">
        <v>46</v>
      </c>
      <c r="I78" s="62"/>
      <c r="J78" s="36">
        <v>2</v>
      </c>
    </row>
    <row r="79" spans="1:10" x14ac:dyDescent="0.15">
      <c r="A79" s="42" t="s">
        <v>76</v>
      </c>
      <c r="B79" s="3">
        <v>60</v>
      </c>
      <c r="C79" s="2" t="s">
        <v>529</v>
      </c>
      <c r="D79" s="8">
        <v>82.5</v>
      </c>
      <c r="E79" s="48">
        <v>5.2</v>
      </c>
      <c r="F79" s="12">
        <v>7</v>
      </c>
      <c r="G79" s="3">
        <v>25</v>
      </c>
      <c r="H79" s="13" t="s">
        <v>452</v>
      </c>
      <c r="J79" s="36">
        <v>67</v>
      </c>
    </row>
    <row r="80" spans="1:10" x14ac:dyDescent="0.15">
      <c r="A80" s="42" t="s">
        <v>30</v>
      </c>
      <c r="B80" s="51">
        <v>60.1</v>
      </c>
      <c r="C80" s="50" t="s">
        <v>529</v>
      </c>
      <c r="D80" s="55">
        <v>237</v>
      </c>
      <c r="E80" s="63">
        <v>3</v>
      </c>
      <c r="F80" s="54">
        <v>7</v>
      </c>
      <c r="G80" s="55">
        <v>25</v>
      </c>
      <c r="H80" s="61" t="s">
        <v>112</v>
      </c>
      <c r="I80" s="62" t="s">
        <v>808</v>
      </c>
      <c r="J80" s="36">
        <v>31</v>
      </c>
    </row>
    <row r="81" spans="1:10" x14ac:dyDescent="0.15">
      <c r="A81" s="42" t="s">
        <v>30</v>
      </c>
      <c r="B81" s="3">
        <v>61</v>
      </c>
      <c r="C81" s="2" t="s">
        <v>532</v>
      </c>
      <c r="D81" s="8">
        <v>68.95</v>
      </c>
      <c r="E81" s="48">
        <v>7.141778489984131</v>
      </c>
      <c r="F81" s="12">
        <v>7</v>
      </c>
      <c r="G81" s="3">
        <v>25</v>
      </c>
      <c r="H81" s="13" t="s">
        <v>740</v>
      </c>
      <c r="J81" s="36" t="s">
        <v>741</v>
      </c>
    </row>
    <row r="82" spans="1:10" x14ac:dyDescent="0.15">
      <c r="A82" s="42" t="s">
        <v>30</v>
      </c>
      <c r="B82" s="3">
        <v>62</v>
      </c>
      <c r="C82" s="2" t="s">
        <v>530</v>
      </c>
      <c r="D82" s="7">
        <v>1.1599999999999999E-2</v>
      </c>
      <c r="E82" s="45"/>
      <c r="F82" s="12">
        <v>6.8</v>
      </c>
      <c r="G82" s="3">
        <v>35</v>
      </c>
      <c r="H82" s="13" t="s">
        <v>652</v>
      </c>
      <c r="J82" s="36">
        <v>8</v>
      </c>
    </row>
    <row r="83" spans="1:10" x14ac:dyDescent="0.15">
      <c r="A83" s="42" t="s">
        <v>30</v>
      </c>
      <c r="B83" s="3">
        <v>63</v>
      </c>
      <c r="C83" s="2" t="s">
        <v>739</v>
      </c>
      <c r="D83" s="3">
        <v>1190</v>
      </c>
      <c r="E83" s="24">
        <v>20</v>
      </c>
      <c r="F83" s="12">
        <v>11.3</v>
      </c>
      <c r="G83" s="3">
        <v>25</v>
      </c>
      <c r="H83" s="13" t="s">
        <v>658</v>
      </c>
      <c r="J83" s="36">
        <v>12</v>
      </c>
    </row>
    <row r="84" spans="1:10" x14ac:dyDescent="0.15">
      <c r="A84" s="42" t="s">
        <v>30</v>
      </c>
      <c r="B84" s="3">
        <v>64</v>
      </c>
      <c r="C84" s="2" t="s">
        <v>531</v>
      </c>
      <c r="D84" s="7">
        <v>9.7900000000000001E-2</v>
      </c>
      <c r="E84" s="24">
        <v>0.03</v>
      </c>
      <c r="F84" s="12" t="s">
        <v>742</v>
      </c>
      <c r="G84" s="5" t="s">
        <v>743</v>
      </c>
      <c r="H84" s="13" t="s">
        <v>148</v>
      </c>
      <c r="J84" s="36" t="s">
        <v>744</v>
      </c>
    </row>
    <row r="85" spans="1:10" x14ac:dyDescent="0.15">
      <c r="A85" s="42" t="s">
        <v>76</v>
      </c>
      <c r="B85" s="3">
        <v>65</v>
      </c>
      <c r="C85" s="2" t="s">
        <v>440</v>
      </c>
      <c r="D85" s="4">
        <v>1.5555555555555554E-4</v>
      </c>
      <c r="E85" s="47">
        <v>1.1111111111111108E-5</v>
      </c>
      <c r="F85" s="12">
        <v>7.2</v>
      </c>
      <c r="G85" s="3" t="s">
        <v>75</v>
      </c>
      <c r="H85" s="13" t="s">
        <v>612</v>
      </c>
      <c r="J85" s="36">
        <v>64</v>
      </c>
    </row>
    <row r="86" spans="1:10" x14ac:dyDescent="0.15">
      <c r="A86" s="42" t="s">
        <v>30</v>
      </c>
      <c r="B86" s="3">
        <v>66</v>
      </c>
      <c r="C86" s="2" t="s">
        <v>640</v>
      </c>
      <c r="D86" s="5">
        <v>167</v>
      </c>
      <c r="E86" s="9">
        <v>8</v>
      </c>
      <c r="F86" s="12">
        <v>13</v>
      </c>
      <c r="G86" s="3">
        <v>25</v>
      </c>
      <c r="H86" s="13" t="s">
        <v>47</v>
      </c>
      <c r="J86" s="36">
        <v>2</v>
      </c>
    </row>
    <row r="87" spans="1:10" x14ac:dyDescent="0.15">
      <c r="A87" s="42" t="s">
        <v>30</v>
      </c>
      <c r="B87" s="3">
        <v>67</v>
      </c>
      <c r="C87" s="2" t="s">
        <v>533</v>
      </c>
      <c r="D87" s="6">
        <v>2.59</v>
      </c>
      <c r="E87" s="46"/>
      <c r="F87" s="12">
        <v>6.7</v>
      </c>
      <c r="G87" s="3">
        <v>25</v>
      </c>
      <c r="H87" s="13" t="s">
        <v>112</v>
      </c>
      <c r="J87" s="36">
        <v>11</v>
      </c>
    </row>
    <row r="88" spans="1:10" x14ac:dyDescent="0.15">
      <c r="A88" s="42" t="s">
        <v>30</v>
      </c>
      <c r="B88" s="3">
        <v>68</v>
      </c>
      <c r="C88" s="2" t="s">
        <v>534</v>
      </c>
      <c r="D88" s="8">
        <v>13.7</v>
      </c>
      <c r="E88" s="48"/>
      <c r="F88" s="12">
        <v>6.7</v>
      </c>
      <c r="G88" s="3">
        <v>25</v>
      </c>
      <c r="H88" s="13" t="s">
        <v>112</v>
      </c>
      <c r="J88" s="36">
        <v>11</v>
      </c>
    </row>
    <row r="89" spans="1:10" x14ac:dyDescent="0.15">
      <c r="A89" s="42" t="s">
        <v>30</v>
      </c>
      <c r="B89" s="3">
        <v>69</v>
      </c>
      <c r="C89" s="2" t="s">
        <v>535</v>
      </c>
      <c r="D89" s="8">
        <v>11</v>
      </c>
      <c r="E89" s="48"/>
      <c r="F89" s="12">
        <v>6.7</v>
      </c>
      <c r="G89" s="3">
        <v>25</v>
      </c>
      <c r="H89" s="13" t="s">
        <v>112</v>
      </c>
      <c r="J89" s="36">
        <v>11</v>
      </c>
    </row>
    <row r="90" spans="1:10" x14ac:dyDescent="0.15">
      <c r="A90" s="42" t="s">
        <v>30</v>
      </c>
      <c r="B90" s="3">
        <v>70</v>
      </c>
      <c r="C90" s="2" t="s">
        <v>536</v>
      </c>
      <c r="D90" s="8">
        <v>70.599999999999994</v>
      </c>
      <c r="E90" s="48"/>
      <c r="F90" s="12">
        <v>6.7</v>
      </c>
      <c r="G90" s="3">
        <v>25</v>
      </c>
      <c r="H90" s="13" t="s">
        <v>112</v>
      </c>
      <c r="J90" s="36">
        <v>11</v>
      </c>
    </row>
    <row r="91" spans="1:10" x14ac:dyDescent="0.15">
      <c r="A91" s="42" t="s">
        <v>30</v>
      </c>
      <c r="B91" s="3">
        <v>71</v>
      </c>
      <c r="C91" s="2" t="s">
        <v>537</v>
      </c>
      <c r="D91" s="8">
        <v>16.100000000000001</v>
      </c>
      <c r="E91" s="48"/>
      <c r="F91" s="12">
        <v>6.7</v>
      </c>
      <c r="G91" s="3">
        <v>25</v>
      </c>
      <c r="H91" s="13" t="s">
        <v>112</v>
      </c>
      <c r="J91" s="36">
        <v>11</v>
      </c>
    </row>
    <row r="92" spans="1:10" x14ac:dyDescent="0.15">
      <c r="A92" s="42" t="s">
        <v>30</v>
      </c>
      <c r="B92" s="3">
        <v>72</v>
      </c>
      <c r="C92" s="2" t="s">
        <v>538</v>
      </c>
      <c r="D92" s="8">
        <v>16.100000000000001</v>
      </c>
      <c r="E92" s="48"/>
      <c r="F92" s="12">
        <v>6.7</v>
      </c>
      <c r="G92" s="3">
        <v>25</v>
      </c>
      <c r="H92" s="13" t="s">
        <v>112</v>
      </c>
      <c r="J92" s="36">
        <v>11</v>
      </c>
    </row>
    <row r="93" spans="1:10" x14ac:dyDescent="0.15">
      <c r="A93" s="42" t="s">
        <v>30</v>
      </c>
      <c r="B93" s="3">
        <v>73</v>
      </c>
      <c r="C93" s="2" t="s">
        <v>539</v>
      </c>
      <c r="D93" s="6">
        <v>2.62</v>
      </c>
      <c r="E93" s="46"/>
      <c r="F93" s="12">
        <v>6.7</v>
      </c>
      <c r="G93" s="3">
        <v>25</v>
      </c>
      <c r="H93" s="13" t="s">
        <v>112</v>
      </c>
      <c r="J93" s="36">
        <v>11</v>
      </c>
    </row>
    <row r="94" spans="1:10" x14ac:dyDescent="0.15">
      <c r="A94" s="42" t="s">
        <v>76</v>
      </c>
      <c r="B94" s="3">
        <v>74</v>
      </c>
      <c r="C94" s="2" t="s">
        <v>687</v>
      </c>
      <c r="D94" s="8">
        <v>122.2</v>
      </c>
      <c r="E94" s="48"/>
      <c r="F94" s="12">
        <v>7</v>
      </c>
      <c r="G94" s="3">
        <v>25</v>
      </c>
      <c r="H94" s="13" t="s">
        <v>355</v>
      </c>
      <c r="J94" s="36">
        <v>48</v>
      </c>
    </row>
    <row r="95" spans="1:10" x14ac:dyDescent="0.15">
      <c r="A95" s="42" t="s">
        <v>30</v>
      </c>
      <c r="B95" s="3">
        <v>75</v>
      </c>
      <c r="C95" s="2" t="s">
        <v>540</v>
      </c>
      <c r="D95" s="7">
        <v>8.3000000000000004E-2</v>
      </c>
      <c r="E95" s="45"/>
      <c r="F95" s="12">
        <v>6.7</v>
      </c>
      <c r="G95" s="3">
        <v>25</v>
      </c>
      <c r="H95" s="13" t="s">
        <v>112</v>
      </c>
      <c r="J95" s="36">
        <v>11</v>
      </c>
    </row>
    <row r="96" spans="1:10" x14ac:dyDescent="0.15">
      <c r="A96" s="42" t="s">
        <v>76</v>
      </c>
      <c r="B96" s="3">
        <v>76</v>
      </c>
      <c r="C96" s="2" t="s">
        <v>199</v>
      </c>
      <c r="D96" s="4">
        <v>2.0999999999999999E-3</v>
      </c>
      <c r="E96" s="47">
        <v>0.03</v>
      </c>
      <c r="F96" s="12">
        <v>5.6</v>
      </c>
      <c r="G96" s="3">
        <v>21</v>
      </c>
      <c r="H96" s="13" t="s">
        <v>148</v>
      </c>
      <c r="J96" s="36">
        <v>28</v>
      </c>
    </row>
    <row r="97" spans="1:10" x14ac:dyDescent="0.15">
      <c r="A97" s="42" t="s">
        <v>188</v>
      </c>
      <c r="B97" s="3">
        <v>77</v>
      </c>
      <c r="C97" s="2" t="s">
        <v>307</v>
      </c>
      <c r="D97" s="5">
        <v>1436</v>
      </c>
      <c r="E97" s="9">
        <v>197.2</v>
      </c>
      <c r="F97" s="12">
        <v>7</v>
      </c>
      <c r="G97" s="3" t="s">
        <v>75</v>
      </c>
      <c r="H97" s="13" t="s">
        <v>112</v>
      </c>
      <c r="J97" s="36">
        <v>40</v>
      </c>
    </row>
    <row r="98" spans="1:10" x14ac:dyDescent="0.15">
      <c r="A98" s="42" t="s">
        <v>30</v>
      </c>
      <c r="B98" s="3">
        <v>78</v>
      </c>
      <c r="C98" s="2" t="s">
        <v>25</v>
      </c>
      <c r="D98" s="5">
        <v>178</v>
      </c>
      <c r="E98" s="9">
        <v>1.6952380952380954</v>
      </c>
      <c r="F98" s="12">
        <v>13</v>
      </c>
      <c r="G98" s="3">
        <v>25</v>
      </c>
      <c r="H98" s="13" t="s">
        <v>22</v>
      </c>
      <c r="J98" s="36">
        <v>1</v>
      </c>
    </row>
    <row r="99" spans="1:10" x14ac:dyDescent="0.15">
      <c r="A99" s="42" t="s">
        <v>76</v>
      </c>
      <c r="B99" s="3">
        <v>79</v>
      </c>
      <c r="C99" s="2" t="s">
        <v>21</v>
      </c>
      <c r="D99" s="4">
        <v>1.2999999999999999E-3</v>
      </c>
      <c r="E99" s="47"/>
      <c r="F99" s="12">
        <v>4.8</v>
      </c>
      <c r="G99" s="3">
        <v>25</v>
      </c>
      <c r="H99" s="13" t="s">
        <v>668</v>
      </c>
      <c r="J99" s="36">
        <v>19</v>
      </c>
    </row>
    <row r="100" spans="1:10" x14ac:dyDescent="0.15">
      <c r="A100" s="42" t="s">
        <v>76</v>
      </c>
      <c r="B100" s="51">
        <v>79.099999999999994</v>
      </c>
      <c r="C100" s="50" t="s">
        <v>21</v>
      </c>
      <c r="D100" s="52">
        <v>10.6</v>
      </c>
      <c r="E100" s="53">
        <v>0.24651162790697673</v>
      </c>
      <c r="F100" s="60">
        <v>13</v>
      </c>
      <c r="G100" s="51">
        <v>25</v>
      </c>
      <c r="H100" s="61" t="s">
        <v>22</v>
      </c>
      <c r="I100" s="62" t="s">
        <v>809</v>
      </c>
      <c r="J100" s="36">
        <v>1</v>
      </c>
    </row>
    <row r="101" spans="1:10" x14ac:dyDescent="0.15">
      <c r="A101" s="42" t="s">
        <v>30</v>
      </c>
      <c r="B101" s="3">
        <v>80</v>
      </c>
      <c r="C101" s="2" t="s">
        <v>221</v>
      </c>
      <c r="D101" s="6">
        <v>5.8666666666666663</v>
      </c>
      <c r="E101" s="46"/>
      <c r="F101" s="12">
        <v>4.5999999999999996</v>
      </c>
      <c r="G101" s="3">
        <v>25</v>
      </c>
      <c r="H101" s="13" t="s">
        <v>680</v>
      </c>
      <c r="J101" s="36">
        <v>30</v>
      </c>
    </row>
    <row r="102" spans="1:10" x14ac:dyDescent="0.15">
      <c r="A102" s="42" t="s">
        <v>30</v>
      </c>
      <c r="B102" s="3">
        <v>81</v>
      </c>
      <c r="C102" s="2" t="s">
        <v>80</v>
      </c>
      <c r="D102" s="8">
        <v>60</v>
      </c>
      <c r="E102" s="48"/>
      <c r="F102" s="12">
        <v>3.8</v>
      </c>
      <c r="G102" s="3">
        <v>24.4</v>
      </c>
      <c r="H102" s="13" t="s">
        <v>646</v>
      </c>
      <c r="J102" s="36">
        <v>4</v>
      </c>
    </row>
    <row r="103" spans="1:10" x14ac:dyDescent="0.15">
      <c r="A103" s="42" t="s">
        <v>30</v>
      </c>
      <c r="B103" s="3">
        <v>82</v>
      </c>
      <c r="C103" s="2" t="s">
        <v>634</v>
      </c>
      <c r="D103" s="5">
        <v>330</v>
      </c>
      <c r="E103" s="9">
        <v>17</v>
      </c>
      <c r="F103" s="12">
        <v>13</v>
      </c>
      <c r="G103" s="3">
        <v>25</v>
      </c>
      <c r="H103" s="13" t="s">
        <v>47</v>
      </c>
      <c r="J103" s="36">
        <v>2</v>
      </c>
    </row>
    <row r="104" spans="1:10" x14ac:dyDescent="0.15">
      <c r="A104" s="42" t="s">
        <v>188</v>
      </c>
      <c r="B104" s="3">
        <v>83</v>
      </c>
      <c r="C104" s="2" t="s">
        <v>258</v>
      </c>
      <c r="D104" s="6">
        <v>2.4</v>
      </c>
      <c r="E104" s="46">
        <v>0.2</v>
      </c>
      <c r="F104" s="29">
        <v>7</v>
      </c>
      <c r="G104" s="5">
        <v>25</v>
      </c>
      <c r="H104" s="13" t="s">
        <v>112</v>
      </c>
      <c r="J104" s="36">
        <v>31</v>
      </c>
    </row>
    <row r="105" spans="1:10" x14ac:dyDescent="0.15">
      <c r="A105" s="42" t="s">
        <v>30</v>
      </c>
      <c r="B105" s="3">
        <v>84</v>
      </c>
      <c r="C105" s="2" t="s">
        <v>541</v>
      </c>
      <c r="D105" s="5">
        <v>140</v>
      </c>
      <c r="E105" s="9">
        <v>7</v>
      </c>
      <c r="F105" s="12">
        <v>6.5</v>
      </c>
      <c r="G105" s="3">
        <v>25</v>
      </c>
      <c r="H105" s="13" t="s">
        <v>46</v>
      </c>
      <c r="J105" s="36">
        <v>2</v>
      </c>
    </row>
    <row r="106" spans="1:10" x14ac:dyDescent="0.15">
      <c r="A106" s="42" t="s">
        <v>188</v>
      </c>
      <c r="B106" s="3">
        <v>85</v>
      </c>
      <c r="C106" s="2" t="s">
        <v>271</v>
      </c>
      <c r="D106" s="5">
        <v>21000</v>
      </c>
      <c r="E106" s="9">
        <v>3000</v>
      </c>
      <c r="F106" s="12">
        <v>7</v>
      </c>
      <c r="G106" s="3">
        <v>20</v>
      </c>
      <c r="H106" s="13" t="s">
        <v>262</v>
      </c>
      <c r="J106" s="36">
        <v>33</v>
      </c>
    </row>
    <row r="107" spans="1:10" x14ac:dyDescent="0.15">
      <c r="A107" s="42" t="s">
        <v>30</v>
      </c>
      <c r="B107" s="3">
        <v>86</v>
      </c>
      <c r="C107" s="2" t="s">
        <v>16</v>
      </c>
      <c r="D107" s="6">
        <v>9.44</v>
      </c>
      <c r="E107" s="46"/>
      <c r="F107" s="12">
        <v>7</v>
      </c>
      <c r="G107" s="3">
        <v>25</v>
      </c>
      <c r="H107" s="13" t="s">
        <v>401</v>
      </c>
      <c r="J107" s="36">
        <v>76</v>
      </c>
    </row>
    <row r="108" spans="1:10" x14ac:dyDescent="0.15">
      <c r="A108" s="42" t="s">
        <v>188</v>
      </c>
      <c r="B108" s="3">
        <v>87</v>
      </c>
      <c r="C108" s="2" t="s">
        <v>322</v>
      </c>
      <c r="D108" s="6">
        <v>1.88</v>
      </c>
      <c r="E108" s="46">
        <v>0.6</v>
      </c>
      <c r="F108" s="12">
        <v>7</v>
      </c>
      <c r="G108" s="3" t="s">
        <v>75</v>
      </c>
      <c r="H108" s="13" t="s">
        <v>112</v>
      </c>
      <c r="J108" s="36">
        <v>40</v>
      </c>
    </row>
    <row r="109" spans="1:10" x14ac:dyDescent="0.15">
      <c r="A109" s="42" t="s">
        <v>188</v>
      </c>
      <c r="B109" s="3">
        <v>88</v>
      </c>
      <c r="C109" s="2" t="s">
        <v>326</v>
      </c>
      <c r="D109" s="6">
        <v>1.1599999999999999</v>
      </c>
      <c r="E109" s="46">
        <v>0.2</v>
      </c>
      <c r="F109" s="12">
        <v>7</v>
      </c>
      <c r="G109" s="3" t="s">
        <v>75</v>
      </c>
      <c r="H109" s="13" t="s">
        <v>112</v>
      </c>
      <c r="J109" s="36">
        <v>40</v>
      </c>
    </row>
    <row r="110" spans="1:10" x14ac:dyDescent="0.15">
      <c r="A110" s="42" t="s">
        <v>188</v>
      </c>
      <c r="B110" s="3">
        <v>89</v>
      </c>
      <c r="C110" s="2" t="s">
        <v>313</v>
      </c>
      <c r="D110" s="8">
        <v>46.8</v>
      </c>
      <c r="E110" s="48">
        <v>5.76</v>
      </c>
      <c r="F110" s="12">
        <v>7</v>
      </c>
      <c r="G110" s="3" t="s">
        <v>75</v>
      </c>
      <c r="H110" s="13" t="s">
        <v>112</v>
      </c>
      <c r="J110" s="36">
        <v>40</v>
      </c>
    </row>
    <row r="111" spans="1:10" x14ac:dyDescent="0.15">
      <c r="A111" s="42" t="s">
        <v>30</v>
      </c>
      <c r="B111" s="3">
        <v>90</v>
      </c>
      <c r="C111" s="2" t="s">
        <v>130</v>
      </c>
      <c r="D111" s="6">
        <v>0.33500000000000002</v>
      </c>
      <c r="E111" s="46"/>
      <c r="F111" s="12">
        <v>7</v>
      </c>
      <c r="G111" s="3">
        <v>25</v>
      </c>
      <c r="H111" s="13" t="s">
        <v>127</v>
      </c>
      <c r="J111" s="36">
        <v>14</v>
      </c>
    </row>
    <row r="112" spans="1:10" x14ac:dyDescent="0.15">
      <c r="A112" s="42" t="s">
        <v>76</v>
      </c>
      <c r="B112" s="3">
        <v>91</v>
      </c>
      <c r="C112" s="2" t="s">
        <v>157</v>
      </c>
      <c r="D112" s="4">
        <v>6.9999999999999999E-6</v>
      </c>
      <c r="E112" s="47">
        <v>4.2E-7</v>
      </c>
      <c r="F112" s="12" t="s">
        <v>664</v>
      </c>
      <c r="G112" s="3">
        <v>70</v>
      </c>
      <c r="H112" s="13" t="s">
        <v>160</v>
      </c>
      <c r="J112" s="36">
        <v>20</v>
      </c>
    </row>
    <row r="113" spans="1:23" x14ac:dyDescent="0.15">
      <c r="A113" s="42" t="s">
        <v>76</v>
      </c>
      <c r="B113" s="51">
        <v>91.1</v>
      </c>
      <c r="C113" s="50" t="s">
        <v>157</v>
      </c>
      <c r="D113" s="51" t="s">
        <v>215</v>
      </c>
      <c r="E113" s="68"/>
      <c r="F113" s="60">
        <v>5.6</v>
      </c>
      <c r="G113" s="51">
        <v>21</v>
      </c>
      <c r="H113" s="61" t="s">
        <v>148</v>
      </c>
      <c r="I113" s="62" t="s">
        <v>810</v>
      </c>
      <c r="J113" s="36">
        <v>28</v>
      </c>
    </row>
    <row r="114" spans="1:23" x14ac:dyDescent="0.15">
      <c r="A114" s="42" t="s">
        <v>30</v>
      </c>
      <c r="B114" s="3">
        <v>92</v>
      </c>
      <c r="C114" s="2" t="s">
        <v>189</v>
      </c>
      <c r="D114" s="6">
        <v>1.04</v>
      </c>
      <c r="E114" s="46">
        <v>0.02</v>
      </c>
      <c r="F114" s="12">
        <v>3</v>
      </c>
      <c r="G114" s="3">
        <v>21</v>
      </c>
      <c r="H114" s="13" t="s">
        <v>190</v>
      </c>
      <c r="J114" s="36">
        <v>27</v>
      </c>
    </row>
    <row r="115" spans="1:23" x14ac:dyDescent="0.15">
      <c r="A115" s="42" t="s">
        <v>188</v>
      </c>
      <c r="B115" s="3">
        <v>93</v>
      </c>
      <c r="C115" s="2" t="s">
        <v>628</v>
      </c>
      <c r="D115" s="6">
        <v>1.6833333333333331</v>
      </c>
      <c r="E115" s="24"/>
      <c r="F115" s="2">
        <v>8</v>
      </c>
      <c r="G115" s="3">
        <v>25</v>
      </c>
      <c r="H115" s="13" t="s">
        <v>401</v>
      </c>
      <c r="J115" s="36">
        <v>89</v>
      </c>
    </row>
    <row r="116" spans="1:23" x14ac:dyDescent="0.15">
      <c r="A116" s="42" t="s">
        <v>30</v>
      </c>
      <c r="B116" s="3">
        <v>94</v>
      </c>
      <c r="C116" s="2" t="s">
        <v>129</v>
      </c>
      <c r="D116" s="7">
        <v>3.1800000000000002E-2</v>
      </c>
      <c r="E116" s="45"/>
      <c r="F116" s="12">
        <v>7</v>
      </c>
      <c r="G116" s="3">
        <v>25</v>
      </c>
      <c r="H116" s="13" t="s">
        <v>127</v>
      </c>
      <c r="J116" s="36">
        <v>14</v>
      </c>
    </row>
    <row r="117" spans="1:23" x14ac:dyDescent="0.15">
      <c r="A117" s="42" t="s">
        <v>76</v>
      </c>
      <c r="B117" s="3">
        <v>95</v>
      </c>
      <c r="C117" s="2" t="s">
        <v>203</v>
      </c>
      <c r="D117" s="3" t="s">
        <v>214</v>
      </c>
      <c r="E117" s="24"/>
      <c r="F117" s="12">
        <v>5.6</v>
      </c>
      <c r="G117" s="3">
        <v>21</v>
      </c>
      <c r="H117" s="13" t="s">
        <v>148</v>
      </c>
      <c r="J117" s="36">
        <v>28</v>
      </c>
    </row>
    <row r="118" spans="1:23" x14ac:dyDescent="0.15">
      <c r="A118" s="42" t="s">
        <v>188</v>
      </c>
      <c r="B118" s="3">
        <v>96</v>
      </c>
      <c r="C118" s="2" t="s">
        <v>690</v>
      </c>
      <c r="D118" s="8">
        <v>34.9</v>
      </c>
      <c r="E118" s="48">
        <v>1.2727922061357835</v>
      </c>
      <c r="F118" s="12">
        <v>7</v>
      </c>
      <c r="G118" s="3">
        <v>25</v>
      </c>
      <c r="H118" s="13" t="s">
        <v>745</v>
      </c>
      <c r="J118" s="36" t="s">
        <v>746</v>
      </c>
    </row>
    <row r="119" spans="1:23" x14ac:dyDescent="0.15">
      <c r="A119" s="42" t="s">
        <v>188</v>
      </c>
      <c r="B119" s="51">
        <v>96.1</v>
      </c>
      <c r="C119" s="50" t="s">
        <v>690</v>
      </c>
      <c r="D119" s="52">
        <v>130.4</v>
      </c>
      <c r="E119" s="53"/>
      <c r="F119" s="60">
        <v>7.5</v>
      </c>
      <c r="G119" s="51">
        <v>25</v>
      </c>
      <c r="H119" s="61" t="s">
        <v>401</v>
      </c>
      <c r="I119" s="62" t="s">
        <v>811</v>
      </c>
      <c r="J119" s="36">
        <v>53</v>
      </c>
    </row>
    <row r="120" spans="1:23" x14ac:dyDescent="0.15">
      <c r="A120" s="42" t="s">
        <v>188</v>
      </c>
      <c r="B120" s="51">
        <v>96.2</v>
      </c>
      <c r="C120" s="50" t="s">
        <v>690</v>
      </c>
      <c r="D120" s="55">
        <v>140</v>
      </c>
      <c r="E120" s="63">
        <v>20</v>
      </c>
      <c r="F120" s="60">
        <v>7.5</v>
      </c>
      <c r="G120" s="51">
        <v>25</v>
      </c>
      <c r="H120" s="61" t="s">
        <v>393</v>
      </c>
      <c r="I120" s="62" t="s">
        <v>812</v>
      </c>
      <c r="J120" s="36">
        <v>52</v>
      </c>
    </row>
    <row r="121" spans="1:23" x14ac:dyDescent="0.15">
      <c r="A121" s="42" t="s">
        <v>188</v>
      </c>
      <c r="B121" s="51">
        <v>96.3</v>
      </c>
      <c r="C121" s="50" t="s">
        <v>690</v>
      </c>
      <c r="D121" s="55">
        <v>128.91999999999999</v>
      </c>
      <c r="E121" s="63">
        <v>0.6</v>
      </c>
      <c r="F121" s="60">
        <v>7</v>
      </c>
      <c r="G121" s="51" t="s">
        <v>75</v>
      </c>
      <c r="H121" s="61" t="s">
        <v>112</v>
      </c>
      <c r="I121" s="62" t="s">
        <v>813</v>
      </c>
      <c r="J121" s="36">
        <v>40</v>
      </c>
    </row>
    <row r="122" spans="1:23" x14ac:dyDescent="0.15">
      <c r="A122" s="42" t="s">
        <v>188</v>
      </c>
      <c r="B122" s="3">
        <v>97</v>
      </c>
      <c r="C122" s="2" t="s">
        <v>484</v>
      </c>
      <c r="D122" s="6">
        <v>0.82</v>
      </c>
      <c r="E122" s="46"/>
      <c r="F122" s="12">
        <v>7</v>
      </c>
      <c r="G122" s="3">
        <v>25</v>
      </c>
      <c r="H122" s="13" t="s">
        <v>452</v>
      </c>
      <c r="J122" s="36">
        <v>75</v>
      </c>
    </row>
    <row r="123" spans="1:23" ht="15" customHeight="1" x14ac:dyDescent="0.15">
      <c r="A123" s="42" t="s">
        <v>188</v>
      </c>
      <c r="B123" s="3">
        <v>98</v>
      </c>
      <c r="C123" s="2" t="s">
        <v>433</v>
      </c>
      <c r="D123" s="7">
        <v>3.2000000000000001E-2</v>
      </c>
      <c r="E123" s="45"/>
      <c r="F123" s="12">
        <v>7</v>
      </c>
      <c r="G123" s="3">
        <v>20</v>
      </c>
      <c r="H123" s="13" t="s">
        <v>401</v>
      </c>
      <c r="J123" s="36">
        <v>62</v>
      </c>
      <c r="K123" s="34"/>
      <c r="Q123" s="2"/>
      <c r="U123" s="3"/>
      <c r="V123" s="2"/>
      <c r="W123" s="2"/>
    </row>
    <row r="124" spans="1:23" ht="15" customHeight="1" x14ac:dyDescent="0.15">
      <c r="A124" s="42" t="s">
        <v>30</v>
      </c>
      <c r="B124" s="3">
        <v>99</v>
      </c>
      <c r="C124" s="2" t="s">
        <v>102</v>
      </c>
      <c r="D124" s="6">
        <v>2.7</v>
      </c>
      <c r="E124" s="46">
        <v>0.21600000000000003</v>
      </c>
      <c r="F124" s="12" t="s">
        <v>106</v>
      </c>
      <c r="G124" s="3">
        <v>25</v>
      </c>
      <c r="H124" s="13" t="s">
        <v>647</v>
      </c>
      <c r="J124" s="36">
        <v>10</v>
      </c>
      <c r="K124" s="34"/>
      <c r="Q124" s="2"/>
      <c r="T124" s="3"/>
      <c r="U124" s="35"/>
      <c r="V124" s="4"/>
      <c r="W124" s="30"/>
    </row>
    <row r="125" spans="1:23" ht="15" customHeight="1" x14ac:dyDescent="0.15">
      <c r="A125" s="42" t="s">
        <v>30</v>
      </c>
      <c r="B125" s="3">
        <v>100</v>
      </c>
      <c r="C125" s="2" t="s">
        <v>87</v>
      </c>
      <c r="D125" s="8">
        <v>12.5</v>
      </c>
      <c r="E125" s="48">
        <v>0.8</v>
      </c>
      <c r="F125" s="12" t="s">
        <v>85</v>
      </c>
      <c r="G125" s="3">
        <v>25</v>
      </c>
      <c r="H125" s="13" t="s">
        <v>647</v>
      </c>
      <c r="J125" s="36">
        <v>6</v>
      </c>
      <c r="K125" s="34"/>
      <c r="Q125" s="2"/>
      <c r="T125" s="3"/>
      <c r="U125" s="2"/>
      <c r="V125" s="4"/>
      <c r="W125" s="30"/>
    </row>
    <row r="126" spans="1:23" x14ac:dyDescent="0.15">
      <c r="A126" s="42" t="s">
        <v>76</v>
      </c>
      <c r="B126" s="3">
        <v>101</v>
      </c>
      <c r="C126" s="2" t="s">
        <v>233</v>
      </c>
      <c r="D126" s="4">
        <v>1.7534999999999999E-3</v>
      </c>
      <c r="E126" s="47">
        <v>1.1971317805488249E-3</v>
      </c>
      <c r="F126" s="29" t="s">
        <v>747</v>
      </c>
      <c r="G126" s="5">
        <v>25</v>
      </c>
      <c r="H126" s="30" t="s">
        <v>748</v>
      </c>
      <c r="I126" s="31"/>
      <c r="J126" s="36" t="s">
        <v>749</v>
      </c>
      <c r="K126" s="34"/>
      <c r="Q126" s="2"/>
      <c r="T126" s="3"/>
      <c r="U126" s="2"/>
      <c r="V126" s="4"/>
      <c r="W126" s="30"/>
    </row>
    <row r="127" spans="1:23" x14ac:dyDescent="0.15">
      <c r="A127" s="42" t="s">
        <v>30</v>
      </c>
      <c r="B127" s="3">
        <v>102</v>
      </c>
      <c r="C127" s="2" t="s">
        <v>154</v>
      </c>
      <c r="D127" s="4">
        <v>2.7000000000000001E-3</v>
      </c>
      <c r="E127" s="47"/>
      <c r="F127" s="12">
        <v>4.8</v>
      </c>
      <c r="G127" s="3">
        <v>25</v>
      </c>
      <c r="H127" s="13" t="s">
        <v>668</v>
      </c>
      <c r="J127" s="36">
        <v>19</v>
      </c>
      <c r="K127" s="34"/>
      <c r="Q127" s="2"/>
      <c r="T127" s="3"/>
      <c r="U127" s="2"/>
      <c r="V127" s="4"/>
      <c r="W127" s="30"/>
    </row>
    <row r="128" spans="1:23" x14ac:dyDescent="0.15">
      <c r="A128" s="42" t="s">
        <v>188</v>
      </c>
      <c r="B128" s="3">
        <v>103</v>
      </c>
      <c r="C128" s="2" t="s">
        <v>337</v>
      </c>
      <c r="D128" s="7">
        <v>0.05</v>
      </c>
      <c r="E128" s="45">
        <v>7.768595041322314E-2</v>
      </c>
      <c r="F128" s="12">
        <v>7</v>
      </c>
      <c r="G128" s="3" t="s">
        <v>75</v>
      </c>
      <c r="H128" s="13" t="s">
        <v>112</v>
      </c>
      <c r="J128" s="36">
        <v>40</v>
      </c>
      <c r="Q128" s="2"/>
      <c r="T128" s="3"/>
      <c r="U128" s="2"/>
      <c r="V128" s="4"/>
      <c r="W128" s="30"/>
    </row>
    <row r="129" spans="1:24" x14ac:dyDescent="0.15">
      <c r="A129" s="42" t="s">
        <v>188</v>
      </c>
      <c r="B129" s="3">
        <v>104</v>
      </c>
      <c r="C129" s="2" t="s">
        <v>338</v>
      </c>
      <c r="D129" s="7">
        <v>0.04</v>
      </c>
      <c r="E129" s="45">
        <v>1.8910675381263616E-2</v>
      </c>
      <c r="F129" s="12">
        <v>7</v>
      </c>
      <c r="G129" s="3" t="s">
        <v>75</v>
      </c>
      <c r="H129" s="13" t="s">
        <v>112</v>
      </c>
      <c r="J129" s="36">
        <v>40</v>
      </c>
      <c r="N129" s="31"/>
      <c r="Q129" s="2"/>
      <c r="T129" s="3"/>
      <c r="U129" s="2"/>
      <c r="V129" s="4"/>
      <c r="W129" s="30"/>
    </row>
    <row r="130" spans="1:24" x14ac:dyDescent="0.15">
      <c r="A130" s="42" t="s">
        <v>188</v>
      </c>
      <c r="B130" s="3">
        <v>105</v>
      </c>
      <c r="C130" s="2" t="s">
        <v>282</v>
      </c>
      <c r="D130" s="5">
        <v>272.86666666666667</v>
      </c>
      <c r="E130" s="9">
        <v>25.819630774535359</v>
      </c>
      <c r="F130" s="12" t="s">
        <v>750</v>
      </c>
      <c r="G130" s="3" t="s">
        <v>727</v>
      </c>
      <c r="H130" s="13" t="s">
        <v>748</v>
      </c>
      <c r="J130" s="36" t="s">
        <v>751</v>
      </c>
      <c r="Q130" s="2"/>
      <c r="T130" s="3"/>
      <c r="U130" s="2"/>
      <c r="V130" s="4"/>
      <c r="W130" s="30"/>
    </row>
    <row r="131" spans="1:24" x14ac:dyDescent="0.15">
      <c r="A131" s="42" t="s">
        <v>76</v>
      </c>
      <c r="B131" s="3">
        <v>106</v>
      </c>
      <c r="C131" s="2" t="s">
        <v>201</v>
      </c>
      <c r="D131" s="4">
        <v>4.4000000000000003E-3</v>
      </c>
      <c r="E131" s="47">
        <v>0.08</v>
      </c>
      <c r="F131" s="12">
        <v>5.6</v>
      </c>
      <c r="G131" s="3">
        <v>21</v>
      </c>
      <c r="H131" s="13" t="s">
        <v>148</v>
      </c>
      <c r="J131" s="36">
        <v>28</v>
      </c>
      <c r="Q131" s="2"/>
      <c r="T131" s="3"/>
      <c r="U131" s="2"/>
      <c r="V131" s="4"/>
      <c r="W131" s="30"/>
    </row>
    <row r="132" spans="1:24" x14ac:dyDescent="0.15">
      <c r="A132" s="42" t="s">
        <v>188</v>
      </c>
      <c r="B132" s="3">
        <v>107</v>
      </c>
      <c r="C132" s="2" t="s">
        <v>308</v>
      </c>
      <c r="D132" s="5">
        <v>731.6</v>
      </c>
      <c r="E132" s="9">
        <v>62</v>
      </c>
      <c r="F132" s="12">
        <v>7</v>
      </c>
      <c r="G132" s="3" t="s">
        <v>75</v>
      </c>
      <c r="H132" s="13" t="s">
        <v>112</v>
      </c>
      <c r="J132" s="36">
        <v>40</v>
      </c>
      <c r="Q132" s="2"/>
      <c r="T132" s="3"/>
      <c r="U132" s="2"/>
      <c r="V132" s="4"/>
      <c r="W132" s="30"/>
    </row>
    <row r="133" spans="1:24" x14ac:dyDescent="0.15">
      <c r="A133" s="42" t="s">
        <v>188</v>
      </c>
      <c r="B133" s="3">
        <v>108</v>
      </c>
      <c r="C133" s="2" t="s">
        <v>315</v>
      </c>
      <c r="D133" s="8">
        <v>12.71</v>
      </c>
      <c r="E133" s="48">
        <v>1.62</v>
      </c>
      <c r="F133" s="12">
        <v>7</v>
      </c>
      <c r="G133" s="3" t="s">
        <v>75</v>
      </c>
      <c r="H133" s="13" t="s">
        <v>262</v>
      </c>
      <c r="J133" s="36">
        <v>69</v>
      </c>
      <c r="Q133" s="2"/>
      <c r="T133" s="3"/>
      <c r="U133" s="2"/>
      <c r="V133" s="4"/>
      <c r="W133" s="30"/>
    </row>
    <row r="134" spans="1:24" x14ac:dyDescent="0.15">
      <c r="A134" s="42" t="s">
        <v>188</v>
      </c>
      <c r="B134" s="51">
        <v>108.1</v>
      </c>
      <c r="C134" s="50" t="s">
        <v>315</v>
      </c>
      <c r="D134" s="52">
        <v>30.92</v>
      </c>
      <c r="E134" s="53">
        <v>0.48</v>
      </c>
      <c r="F134" s="60">
        <v>7</v>
      </c>
      <c r="G134" s="51" t="s">
        <v>75</v>
      </c>
      <c r="H134" s="61" t="s">
        <v>112</v>
      </c>
      <c r="I134" s="62" t="s">
        <v>815</v>
      </c>
      <c r="J134" s="36">
        <v>40</v>
      </c>
      <c r="Q134" s="2"/>
      <c r="T134" s="3"/>
      <c r="U134" s="2"/>
      <c r="V134" s="4"/>
      <c r="W134" s="30"/>
    </row>
    <row r="135" spans="1:24" x14ac:dyDescent="0.15">
      <c r="A135" s="42" t="s">
        <v>76</v>
      </c>
      <c r="B135" s="3">
        <v>109</v>
      </c>
      <c r="C135" s="2" t="s">
        <v>224</v>
      </c>
      <c r="D135" s="4">
        <v>1.3200000000000001E-4</v>
      </c>
      <c r="E135" s="47"/>
      <c r="F135" s="12">
        <v>7</v>
      </c>
      <c r="G135" s="3">
        <v>25</v>
      </c>
      <c r="H135" s="13" t="s">
        <v>227</v>
      </c>
      <c r="J135" s="36">
        <v>31</v>
      </c>
      <c r="Q135" s="2"/>
      <c r="T135" s="3"/>
      <c r="U135" s="2"/>
      <c r="V135" s="4"/>
      <c r="W135" s="30"/>
    </row>
    <row r="136" spans="1:24" x14ac:dyDescent="0.15">
      <c r="A136" s="42" t="s">
        <v>30</v>
      </c>
      <c r="B136" s="3">
        <v>110</v>
      </c>
      <c r="C136" s="2" t="s">
        <v>104</v>
      </c>
      <c r="D136" s="6">
        <v>4</v>
      </c>
      <c r="E136" s="46">
        <v>0.32</v>
      </c>
      <c r="F136" s="12" t="s">
        <v>651</v>
      </c>
      <c r="G136" s="3">
        <v>25</v>
      </c>
      <c r="H136" s="13" t="s">
        <v>647</v>
      </c>
      <c r="J136" s="36">
        <v>10</v>
      </c>
      <c r="Q136" s="2"/>
      <c r="T136" s="3"/>
      <c r="U136" s="2"/>
      <c r="V136" s="4"/>
      <c r="W136" s="30"/>
    </row>
    <row r="137" spans="1:24" x14ac:dyDescent="0.15">
      <c r="A137" s="42" t="s">
        <v>188</v>
      </c>
      <c r="B137" s="3">
        <v>111</v>
      </c>
      <c r="C137" s="2" t="s">
        <v>463</v>
      </c>
      <c r="D137" s="8">
        <v>20.55</v>
      </c>
      <c r="E137" s="48">
        <v>0.48</v>
      </c>
      <c r="F137" s="12">
        <v>7</v>
      </c>
      <c r="G137" s="3">
        <v>25</v>
      </c>
      <c r="H137" s="13" t="s">
        <v>464</v>
      </c>
      <c r="J137" s="36">
        <v>71</v>
      </c>
      <c r="Q137" s="2"/>
      <c r="T137" s="3"/>
      <c r="U137" s="2"/>
      <c r="V137" s="4"/>
      <c r="W137" s="30"/>
      <c r="X137" s="34"/>
    </row>
    <row r="138" spans="1:24" x14ac:dyDescent="0.15">
      <c r="A138" s="42" t="s">
        <v>188</v>
      </c>
      <c r="B138" s="3">
        <v>112</v>
      </c>
      <c r="C138" s="2" t="s">
        <v>314</v>
      </c>
      <c r="D138" s="8">
        <v>44.4</v>
      </c>
      <c r="E138" s="48">
        <v>18.48</v>
      </c>
      <c r="F138" s="12">
        <v>7</v>
      </c>
      <c r="G138" s="3" t="s">
        <v>75</v>
      </c>
      <c r="H138" s="13" t="s">
        <v>112</v>
      </c>
      <c r="J138" s="36">
        <v>40</v>
      </c>
      <c r="Q138" s="2"/>
      <c r="T138" s="3"/>
      <c r="U138" s="2"/>
      <c r="V138" s="4"/>
      <c r="W138" s="30"/>
      <c r="X138" s="34"/>
    </row>
    <row r="139" spans="1:24" x14ac:dyDescent="0.15">
      <c r="A139" s="42" t="s">
        <v>76</v>
      </c>
      <c r="B139" s="3">
        <v>113</v>
      </c>
      <c r="C139" s="2" t="s">
        <v>195</v>
      </c>
      <c r="D139" s="7">
        <v>1.2E-2</v>
      </c>
      <c r="E139" s="45">
        <v>0.01</v>
      </c>
      <c r="F139" s="12">
        <v>5.6</v>
      </c>
      <c r="G139" s="3">
        <v>21</v>
      </c>
      <c r="H139" s="13" t="s">
        <v>148</v>
      </c>
      <c r="J139" s="36">
        <v>28</v>
      </c>
      <c r="Q139" s="2"/>
      <c r="T139" s="3"/>
      <c r="U139" s="2"/>
      <c r="V139" s="4"/>
      <c r="W139" s="30"/>
      <c r="X139" s="34"/>
    </row>
    <row r="140" spans="1:24" x14ac:dyDescent="0.15">
      <c r="A140" s="42" t="s">
        <v>30</v>
      </c>
      <c r="B140" s="3">
        <v>114</v>
      </c>
      <c r="C140" s="2" t="s">
        <v>641</v>
      </c>
      <c r="D140" s="5">
        <v>490</v>
      </c>
      <c r="E140" s="9">
        <v>25</v>
      </c>
      <c r="F140" s="12">
        <v>6.5</v>
      </c>
      <c r="G140" s="3">
        <v>25</v>
      </c>
      <c r="H140" s="13" t="s">
        <v>46</v>
      </c>
      <c r="J140" s="36">
        <v>2</v>
      </c>
      <c r="Q140" s="2"/>
      <c r="T140" s="3"/>
      <c r="U140" s="2"/>
      <c r="V140" s="4"/>
      <c r="W140" s="30"/>
      <c r="X140" s="34"/>
    </row>
    <row r="141" spans="1:24" x14ac:dyDescent="0.15">
      <c r="A141" s="42" t="s">
        <v>30</v>
      </c>
      <c r="B141" s="51">
        <v>114.1</v>
      </c>
      <c r="C141" s="50" t="s">
        <v>641</v>
      </c>
      <c r="D141" s="55">
        <v>736</v>
      </c>
      <c r="E141" s="63">
        <v>18</v>
      </c>
      <c r="F141" s="60">
        <v>11.3</v>
      </c>
      <c r="G141" s="51">
        <v>25</v>
      </c>
      <c r="H141" s="61" t="s">
        <v>658</v>
      </c>
      <c r="I141" s="62" t="s">
        <v>814</v>
      </c>
      <c r="J141" s="36">
        <v>12</v>
      </c>
    </row>
    <row r="142" spans="1:24" x14ac:dyDescent="0.15">
      <c r="A142" s="42" t="s">
        <v>188</v>
      </c>
      <c r="B142" s="3">
        <v>115</v>
      </c>
      <c r="C142" s="2" t="s">
        <v>324</v>
      </c>
      <c r="D142" s="6">
        <v>0.97666666666666668</v>
      </c>
      <c r="E142" s="46">
        <v>0.37527767497325648</v>
      </c>
      <c r="F142" s="12" t="s">
        <v>705</v>
      </c>
      <c r="G142" s="3">
        <v>25</v>
      </c>
      <c r="H142" s="13" t="s">
        <v>753</v>
      </c>
      <c r="J142" s="36" t="s">
        <v>752</v>
      </c>
    </row>
    <row r="143" spans="1:24" x14ac:dyDescent="0.15">
      <c r="A143" s="42" t="s">
        <v>76</v>
      </c>
      <c r="B143" s="3">
        <v>116</v>
      </c>
      <c r="C143" s="2" t="s">
        <v>609</v>
      </c>
      <c r="D143" s="6">
        <v>1.0714729729729728</v>
      </c>
      <c r="E143" s="46">
        <v>0.34589645021768073</v>
      </c>
      <c r="F143" s="29" t="s">
        <v>757</v>
      </c>
      <c r="G143" s="5" t="s">
        <v>756</v>
      </c>
      <c r="H143" s="30" t="s">
        <v>754</v>
      </c>
      <c r="I143" s="31"/>
      <c r="J143" s="36" t="s">
        <v>755</v>
      </c>
    </row>
    <row r="144" spans="1:24" x14ac:dyDescent="0.15">
      <c r="A144" s="42" t="s">
        <v>188</v>
      </c>
      <c r="B144" s="3">
        <v>117</v>
      </c>
      <c r="C144" s="2" t="s">
        <v>320</v>
      </c>
      <c r="D144" s="6">
        <v>2.4</v>
      </c>
      <c r="E144" s="46">
        <v>0.16</v>
      </c>
      <c r="F144" s="12">
        <v>7</v>
      </c>
      <c r="G144" s="3" t="s">
        <v>75</v>
      </c>
      <c r="H144" s="13" t="s">
        <v>112</v>
      </c>
      <c r="J144" s="36">
        <v>40</v>
      </c>
    </row>
    <row r="145" spans="1:10" x14ac:dyDescent="0.15">
      <c r="A145" s="42" t="s">
        <v>188</v>
      </c>
      <c r="B145" s="3">
        <v>118</v>
      </c>
      <c r="C145" s="2" t="s">
        <v>332</v>
      </c>
      <c r="D145" s="6">
        <v>0.8</v>
      </c>
      <c r="E145" s="46">
        <v>0.6</v>
      </c>
      <c r="F145" s="12">
        <v>7</v>
      </c>
      <c r="G145" s="3" t="s">
        <v>75</v>
      </c>
      <c r="H145" s="13" t="s">
        <v>112</v>
      </c>
      <c r="J145" s="36">
        <v>40</v>
      </c>
    </row>
    <row r="146" spans="1:10" x14ac:dyDescent="0.15">
      <c r="A146" s="42" t="s">
        <v>30</v>
      </c>
      <c r="B146" s="3">
        <v>119</v>
      </c>
      <c r="C146" s="2" t="s">
        <v>635</v>
      </c>
      <c r="D146" s="5">
        <v>232</v>
      </c>
      <c r="E146" s="9">
        <v>11</v>
      </c>
      <c r="F146" s="12">
        <v>6.5</v>
      </c>
      <c r="G146" s="3">
        <v>25</v>
      </c>
      <c r="H146" s="13" t="s">
        <v>46</v>
      </c>
      <c r="J146" s="36">
        <v>2</v>
      </c>
    </row>
    <row r="147" spans="1:10" x14ac:dyDescent="0.15">
      <c r="A147" s="42" t="s">
        <v>30</v>
      </c>
      <c r="B147" s="3">
        <v>120</v>
      </c>
      <c r="C147" s="2" t="s">
        <v>67</v>
      </c>
      <c r="D147" s="4">
        <v>1.8799999999999999E-3</v>
      </c>
      <c r="E147" s="47"/>
      <c r="F147" s="12">
        <v>4.5999999999999996</v>
      </c>
      <c r="G147" s="3">
        <v>20</v>
      </c>
      <c r="H147" s="13" t="s">
        <v>66</v>
      </c>
      <c r="J147" s="36">
        <v>3</v>
      </c>
    </row>
    <row r="148" spans="1:10" x14ac:dyDescent="0.15">
      <c r="A148" s="42" t="s">
        <v>188</v>
      </c>
      <c r="B148" s="3">
        <v>121</v>
      </c>
      <c r="C148" s="2" t="s">
        <v>270</v>
      </c>
      <c r="D148" s="6">
        <v>0.28000000000000003</v>
      </c>
      <c r="E148" s="46">
        <v>2.8284271247461888E-2</v>
      </c>
      <c r="F148" s="12" t="s">
        <v>768</v>
      </c>
      <c r="G148" s="3" t="s">
        <v>758</v>
      </c>
      <c r="H148" s="13" t="s">
        <v>754</v>
      </c>
      <c r="J148" s="36" t="s">
        <v>759</v>
      </c>
    </row>
    <row r="149" spans="1:10" x14ac:dyDescent="0.15">
      <c r="A149" s="42" t="s">
        <v>188</v>
      </c>
      <c r="B149" s="3">
        <v>122</v>
      </c>
      <c r="C149" s="2" t="s">
        <v>309</v>
      </c>
      <c r="D149" s="5">
        <v>105.2</v>
      </c>
      <c r="E149" s="9">
        <v>6.6799999999999988</v>
      </c>
      <c r="F149" s="12">
        <v>7</v>
      </c>
      <c r="G149" s="3" t="s">
        <v>75</v>
      </c>
      <c r="H149" s="13" t="s">
        <v>112</v>
      </c>
      <c r="J149" s="36">
        <v>40</v>
      </c>
    </row>
    <row r="150" spans="1:10" x14ac:dyDescent="0.15">
      <c r="A150" s="42" t="s">
        <v>76</v>
      </c>
      <c r="B150" s="3">
        <v>123</v>
      </c>
      <c r="C150" s="2" t="s">
        <v>204</v>
      </c>
      <c r="D150" s="3" t="s">
        <v>214</v>
      </c>
      <c r="E150" s="24"/>
      <c r="F150" s="12">
        <v>5.6</v>
      </c>
      <c r="G150" s="3">
        <v>21</v>
      </c>
      <c r="H150" s="13" t="s">
        <v>148</v>
      </c>
      <c r="J150" s="36">
        <v>28</v>
      </c>
    </row>
    <row r="151" spans="1:10" x14ac:dyDescent="0.15">
      <c r="A151" s="42" t="s">
        <v>30</v>
      </c>
      <c r="B151" s="3">
        <v>124</v>
      </c>
      <c r="C151" s="2" t="s">
        <v>105</v>
      </c>
      <c r="D151" s="7">
        <v>3.6999999999999998E-2</v>
      </c>
      <c r="E151" s="45">
        <v>2.96E-3</v>
      </c>
      <c r="F151" s="12" t="s">
        <v>657</v>
      </c>
      <c r="G151" s="3">
        <v>25</v>
      </c>
      <c r="H151" s="13" t="s">
        <v>647</v>
      </c>
      <c r="J151" s="36">
        <v>10</v>
      </c>
    </row>
    <row r="152" spans="1:10" x14ac:dyDescent="0.15">
      <c r="A152" s="42" t="s">
        <v>30</v>
      </c>
      <c r="B152" s="3">
        <v>125</v>
      </c>
      <c r="C152" s="2" t="s">
        <v>103</v>
      </c>
      <c r="D152" s="6">
        <v>3.7</v>
      </c>
      <c r="E152" s="46">
        <v>0.29600000000000004</v>
      </c>
      <c r="F152" s="12" t="s">
        <v>656</v>
      </c>
      <c r="G152" s="3">
        <v>25</v>
      </c>
      <c r="H152" s="13" t="s">
        <v>647</v>
      </c>
      <c r="J152" s="36">
        <v>10</v>
      </c>
    </row>
    <row r="153" spans="1:10" x14ac:dyDescent="0.15">
      <c r="A153" s="42" t="s">
        <v>188</v>
      </c>
      <c r="B153" s="3">
        <v>126</v>
      </c>
      <c r="C153" s="2" t="s">
        <v>257</v>
      </c>
      <c r="D153" s="8">
        <v>20.45</v>
      </c>
      <c r="E153" s="48">
        <v>6.7175144212722016</v>
      </c>
      <c r="F153" s="12">
        <v>7</v>
      </c>
      <c r="G153" s="3">
        <v>25</v>
      </c>
      <c r="H153" s="13" t="s">
        <v>760</v>
      </c>
      <c r="J153" s="36" t="s">
        <v>761</v>
      </c>
    </row>
    <row r="154" spans="1:10" x14ac:dyDescent="0.15">
      <c r="A154" s="42" t="s">
        <v>188</v>
      </c>
      <c r="B154" s="3">
        <v>127</v>
      </c>
      <c r="C154" s="2" t="s">
        <v>319</v>
      </c>
      <c r="D154" s="6">
        <v>2.1477839663068767</v>
      </c>
      <c r="E154" s="46">
        <v>0.52635584852423734</v>
      </c>
      <c r="F154" s="12">
        <v>7</v>
      </c>
      <c r="G154" s="3">
        <v>20</v>
      </c>
      <c r="H154" s="13" t="s">
        <v>753</v>
      </c>
      <c r="J154" s="36" t="s">
        <v>762</v>
      </c>
    </row>
    <row r="155" spans="1:10" x14ac:dyDescent="0.15">
      <c r="A155" s="42" t="s">
        <v>30</v>
      </c>
      <c r="B155" s="3">
        <v>128</v>
      </c>
      <c r="C155" s="2" t="s">
        <v>73</v>
      </c>
      <c r="D155" s="4">
        <v>8.9999999999999998E-4</v>
      </c>
      <c r="E155" s="47"/>
      <c r="F155" s="12">
        <v>4.5999999999999996</v>
      </c>
      <c r="G155" s="3">
        <v>20</v>
      </c>
      <c r="H155" s="13" t="s">
        <v>66</v>
      </c>
      <c r="J155" s="36">
        <v>3</v>
      </c>
    </row>
    <row r="156" spans="1:10" x14ac:dyDescent="0.15">
      <c r="A156" s="42" t="s">
        <v>188</v>
      </c>
      <c r="B156" s="3">
        <v>129</v>
      </c>
      <c r="C156" s="2" t="s">
        <v>334</v>
      </c>
      <c r="D156" s="6">
        <v>0.6</v>
      </c>
      <c r="E156" s="46">
        <v>0.08</v>
      </c>
      <c r="F156" s="12">
        <v>7</v>
      </c>
      <c r="G156" s="3" t="s">
        <v>75</v>
      </c>
      <c r="H156" s="13" t="s">
        <v>112</v>
      </c>
      <c r="J156" s="36">
        <v>40</v>
      </c>
    </row>
    <row r="157" spans="1:10" x14ac:dyDescent="0.15">
      <c r="A157" s="42" t="s">
        <v>30</v>
      </c>
      <c r="B157" s="3">
        <v>130</v>
      </c>
      <c r="C157" s="2" t="s">
        <v>542</v>
      </c>
      <c r="D157" s="8">
        <v>54</v>
      </c>
      <c r="E157" s="48">
        <v>4.32</v>
      </c>
      <c r="F157" s="12" t="s">
        <v>650</v>
      </c>
      <c r="G157" s="3">
        <v>25</v>
      </c>
      <c r="H157" s="13" t="s">
        <v>81</v>
      </c>
      <c r="J157" s="36">
        <v>7</v>
      </c>
    </row>
    <row r="158" spans="1:10" x14ac:dyDescent="0.15">
      <c r="A158" s="42" t="s">
        <v>76</v>
      </c>
      <c r="B158" s="3">
        <v>131</v>
      </c>
      <c r="C158" s="2" t="s">
        <v>70</v>
      </c>
      <c r="D158" s="4">
        <v>3.0899999999999999E-5</v>
      </c>
      <c r="E158" s="47"/>
      <c r="F158" s="12">
        <v>4.5999999999999996</v>
      </c>
      <c r="G158" s="3">
        <v>20</v>
      </c>
      <c r="H158" s="13" t="s">
        <v>66</v>
      </c>
      <c r="J158" s="36">
        <v>3</v>
      </c>
    </row>
    <row r="159" spans="1:10" x14ac:dyDescent="0.15">
      <c r="A159" s="42" t="s">
        <v>188</v>
      </c>
      <c r="B159" s="3">
        <v>132</v>
      </c>
      <c r="C159" s="2" t="s">
        <v>321</v>
      </c>
      <c r="D159" s="6">
        <v>0.88749999999999996</v>
      </c>
      <c r="E159" s="46">
        <v>0.36415999231107232</v>
      </c>
      <c r="F159" s="12" t="s">
        <v>705</v>
      </c>
      <c r="G159" s="3" t="s">
        <v>763</v>
      </c>
      <c r="H159" s="13" t="s">
        <v>753</v>
      </c>
      <c r="J159" s="36" t="s">
        <v>764</v>
      </c>
    </row>
    <row r="160" spans="1:10" x14ac:dyDescent="0.15">
      <c r="A160" s="42" t="s">
        <v>188</v>
      </c>
      <c r="B160" s="51">
        <v>132.1</v>
      </c>
      <c r="C160" s="50" t="s">
        <v>321</v>
      </c>
      <c r="D160" s="58">
        <v>2.04</v>
      </c>
      <c r="E160" s="59">
        <v>0.12</v>
      </c>
      <c r="F160" s="60">
        <v>7</v>
      </c>
      <c r="G160" s="51" t="s">
        <v>75</v>
      </c>
      <c r="H160" s="61" t="s">
        <v>112</v>
      </c>
      <c r="I160" s="62" t="s">
        <v>816</v>
      </c>
      <c r="J160" s="36">
        <v>40</v>
      </c>
    </row>
    <row r="161" spans="1:10" x14ac:dyDescent="0.15">
      <c r="A161" s="42" t="s">
        <v>188</v>
      </c>
      <c r="B161" s="3">
        <v>133</v>
      </c>
      <c r="C161" s="2" t="s">
        <v>323</v>
      </c>
      <c r="D161" s="6">
        <v>1.48</v>
      </c>
      <c r="E161" s="46">
        <v>0.04</v>
      </c>
      <c r="F161" s="12">
        <v>7</v>
      </c>
      <c r="G161" s="3" t="s">
        <v>75</v>
      </c>
      <c r="H161" s="13" t="s">
        <v>112</v>
      </c>
      <c r="J161" s="36">
        <v>40</v>
      </c>
    </row>
    <row r="162" spans="1:10" x14ac:dyDescent="0.15">
      <c r="A162" s="42" t="s">
        <v>188</v>
      </c>
      <c r="B162" s="3">
        <v>134</v>
      </c>
      <c r="C162" s="2" t="s">
        <v>373</v>
      </c>
      <c r="D162" s="8">
        <v>87.4</v>
      </c>
      <c r="E162" s="48"/>
      <c r="F162" s="12">
        <v>7</v>
      </c>
      <c r="G162" s="3">
        <v>25</v>
      </c>
      <c r="H162" s="13" t="s">
        <v>355</v>
      </c>
      <c r="J162" s="36">
        <v>48</v>
      </c>
    </row>
    <row r="163" spans="1:10" x14ac:dyDescent="0.15">
      <c r="A163" s="42" t="s">
        <v>188</v>
      </c>
      <c r="B163" s="3">
        <v>135</v>
      </c>
      <c r="C163" s="2" t="s">
        <v>371</v>
      </c>
      <c r="D163" s="8">
        <v>86.2</v>
      </c>
      <c r="E163" s="48"/>
      <c r="F163" s="12">
        <v>7</v>
      </c>
      <c r="G163" s="3">
        <v>25</v>
      </c>
      <c r="H163" s="13" t="s">
        <v>355</v>
      </c>
      <c r="J163" s="36">
        <v>48</v>
      </c>
    </row>
    <row r="164" spans="1:10" x14ac:dyDescent="0.15">
      <c r="A164" s="42" t="s">
        <v>188</v>
      </c>
      <c r="B164" s="51">
        <v>135.1</v>
      </c>
      <c r="C164" s="50" t="s">
        <v>371</v>
      </c>
      <c r="D164" s="52">
        <v>44.45</v>
      </c>
      <c r="E164" s="53"/>
      <c r="F164" s="60">
        <v>5.8</v>
      </c>
      <c r="G164" s="51">
        <v>25</v>
      </c>
      <c r="H164" s="61" t="s">
        <v>683</v>
      </c>
      <c r="I164" s="62" t="s">
        <v>817</v>
      </c>
      <c r="J164" s="36">
        <v>44</v>
      </c>
    </row>
    <row r="165" spans="1:10" x14ac:dyDescent="0.15">
      <c r="A165" s="42" t="s">
        <v>76</v>
      </c>
      <c r="B165" s="3">
        <v>136</v>
      </c>
      <c r="C165" s="2" t="s">
        <v>69</v>
      </c>
      <c r="D165" s="4">
        <v>1.16E-3</v>
      </c>
      <c r="E165" s="47">
        <v>7.2124891681027859E-4</v>
      </c>
      <c r="F165" s="12" t="s">
        <v>765</v>
      </c>
      <c r="G165" s="3">
        <v>21</v>
      </c>
      <c r="H165" s="13" t="s">
        <v>766</v>
      </c>
      <c r="J165" s="36" t="s">
        <v>767</v>
      </c>
    </row>
    <row r="166" spans="1:10" x14ac:dyDescent="0.15">
      <c r="A166" s="42" t="s">
        <v>30</v>
      </c>
      <c r="B166" s="3">
        <v>137</v>
      </c>
      <c r="C166" s="2" t="s">
        <v>126</v>
      </c>
      <c r="D166" s="7">
        <v>4.9499999999999995E-3</v>
      </c>
      <c r="E166" s="47">
        <v>1.4849242404917501E-3</v>
      </c>
      <c r="F166" s="12" t="s">
        <v>768</v>
      </c>
      <c r="G166" s="3" t="s">
        <v>763</v>
      </c>
      <c r="H166" s="13" t="s">
        <v>754</v>
      </c>
      <c r="J166" s="36" t="s">
        <v>769</v>
      </c>
    </row>
    <row r="167" spans="1:10" x14ac:dyDescent="0.15">
      <c r="A167" s="42" t="s">
        <v>30</v>
      </c>
      <c r="B167" s="51">
        <v>137.1</v>
      </c>
      <c r="C167" s="50" t="s">
        <v>126</v>
      </c>
      <c r="D167" s="65">
        <v>1.1299999999999999E-2</v>
      </c>
      <c r="E167" s="67">
        <v>5.9999999999999995E-4</v>
      </c>
      <c r="F167" s="60" t="s">
        <v>664</v>
      </c>
      <c r="G167" s="51">
        <v>30</v>
      </c>
      <c r="H167" s="61" t="s">
        <v>160</v>
      </c>
      <c r="I167" s="62" t="s">
        <v>818</v>
      </c>
      <c r="J167" s="36">
        <v>90</v>
      </c>
    </row>
    <row r="168" spans="1:10" x14ac:dyDescent="0.15">
      <c r="A168" s="42" t="s">
        <v>188</v>
      </c>
      <c r="B168" s="3">
        <v>138</v>
      </c>
      <c r="C168" s="2" t="s">
        <v>328</v>
      </c>
      <c r="D168" s="6">
        <v>0.84</v>
      </c>
      <c r="E168" s="46">
        <v>0.2</v>
      </c>
      <c r="F168" s="12">
        <v>7</v>
      </c>
      <c r="G168" s="3" t="s">
        <v>75</v>
      </c>
      <c r="H168" s="13" t="s">
        <v>112</v>
      </c>
      <c r="J168" s="36">
        <v>40</v>
      </c>
    </row>
    <row r="169" spans="1:10" x14ac:dyDescent="0.15">
      <c r="A169" s="42" t="s">
        <v>76</v>
      </c>
      <c r="B169" s="3">
        <v>139</v>
      </c>
      <c r="C169" s="2" t="s">
        <v>208</v>
      </c>
      <c r="D169" s="6">
        <v>0.9</v>
      </c>
      <c r="E169" s="46">
        <v>0.3</v>
      </c>
      <c r="F169" s="12">
        <v>5.6</v>
      </c>
      <c r="G169" s="3">
        <v>21</v>
      </c>
      <c r="H169" s="13" t="s">
        <v>148</v>
      </c>
      <c r="J169" s="36">
        <v>28</v>
      </c>
    </row>
    <row r="170" spans="1:10" x14ac:dyDescent="0.15">
      <c r="A170" s="42" t="s">
        <v>76</v>
      </c>
      <c r="B170" s="3">
        <v>140</v>
      </c>
      <c r="C170" s="2" t="s">
        <v>200</v>
      </c>
      <c r="D170" s="4">
        <v>4.3E-3</v>
      </c>
      <c r="E170" s="47">
        <v>0.03</v>
      </c>
      <c r="F170" s="12">
        <v>5.6</v>
      </c>
      <c r="G170" s="3">
        <v>21</v>
      </c>
      <c r="H170" s="13" t="s">
        <v>148</v>
      </c>
      <c r="J170" s="36">
        <v>28</v>
      </c>
    </row>
    <row r="171" spans="1:10" x14ac:dyDescent="0.15">
      <c r="A171" s="42" t="s">
        <v>30</v>
      </c>
      <c r="B171" s="3">
        <v>141</v>
      </c>
      <c r="C171" s="2" t="s">
        <v>543</v>
      </c>
      <c r="D171" s="3">
        <v>1180</v>
      </c>
      <c r="E171" s="9">
        <v>70.8</v>
      </c>
      <c r="F171" s="12" t="s">
        <v>83</v>
      </c>
      <c r="G171" s="3">
        <v>25</v>
      </c>
      <c r="H171" s="13" t="s">
        <v>647</v>
      </c>
      <c r="J171" s="36">
        <v>5</v>
      </c>
    </row>
    <row r="172" spans="1:10" x14ac:dyDescent="0.15">
      <c r="A172" s="42" t="s">
        <v>188</v>
      </c>
      <c r="B172" s="3">
        <v>142</v>
      </c>
      <c r="C172" s="2" t="s">
        <v>333</v>
      </c>
      <c r="D172" s="6">
        <v>0.8</v>
      </c>
      <c r="E172" s="46">
        <v>0.08</v>
      </c>
      <c r="F172" s="12">
        <v>7</v>
      </c>
      <c r="G172" s="3" t="s">
        <v>75</v>
      </c>
      <c r="H172" s="13" t="s">
        <v>112</v>
      </c>
      <c r="J172" s="36">
        <v>40</v>
      </c>
    </row>
    <row r="173" spans="1:10" x14ac:dyDescent="0.15">
      <c r="A173" s="42" t="s">
        <v>30</v>
      </c>
      <c r="B173" s="3">
        <v>143</v>
      </c>
      <c r="C173" s="2" t="s">
        <v>473</v>
      </c>
      <c r="D173" s="6">
        <v>2.7</v>
      </c>
      <c r="E173" s="46">
        <v>0.2</v>
      </c>
      <c r="F173" s="12">
        <v>5.6</v>
      </c>
      <c r="G173" s="3">
        <v>23</v>
      </c>
      <c r="H173" s="13" t="s">
        <v>148</v>
      </c>
      <c r="J173" s="36">
        <v>73</v>
      </c>
    </row>
    <row r="174" spans="1:10" x14ac:dyDescent="0.15">
      <c r="A174" s="42" t="s">
        <v>188</v>
      </c>
      <c r="B174" s="3">
        <v>144</v>
      </c>
      <c r="C174" s="2" t="s">
        <v>184</v>
      </c>
      <c r="D174" s="4">
        <v>4.0795717592592591E-5</v>
      </c>
      <c r="E174" s="47">
        <v>1.7031125134828755E-6</v>
      </c>
      <c r="F174" s="12" t="s">
        <v>721</v>
      </c>
      <c r="G174" s="3">
        <v>25</v>
      </c>
      <c r="H174" s="13" t="s">
        <v>760</v>
      </c>
      <c r="J174" s="36" t="s">
        <v>770</v>
      </c>
    </row>
    <row r="175" spans="1:10" x14ac:dyDescent="0.15">
      <c r="A175" s="42" t="s">
        <v>30</v>
      </c>
      <c r="B175" s="3">
        <v>145</v>
      </c>
      <c r="C175" s="2" t="s">
        <v>153</v>
      </c>
      <c r="D175" s="7">
        <v>3.1E-2</v>
      </c>
      <c r="E175" s="45"/>
      <c r="F175" s="12">
        <v>4.8</v>
      </c>
      <c r="G175" s="3">
        <v>25</v>
      </c>
      <c r="H175" s="13" t="s">
        <v>668</v>
      </c>
      <c r="J175" s="36">
        <v>19</v>
      </c>
    </row>
    <row r="176" spans="1:10" x14ac:dyDescent="0.15">
      <c r="A176" s="42" t="s">
        <v>188</v>
      </c>
      <c r="B176" s="3">
        <v>146</v>
      </c>
      <c r="C176" s="2" t="s">
        <v>331</v>
      </c>
      <c r="D176" s="6">
        <v>0.8</v>
      </c>
      <c r="E176" s="46">
        <v>0.12</v>
      </c>
      <c r="F176" s="12">
        <v>7</v>
      </c>
      <c r="G176" s="3" t="s">
        <v>75</v>
      </c>
      <c r="H176" s="13" t="s">
        <v>112</v>
      </c>
      <c r="J176" s="36">
        <v>40</v>
      </c>
    </row>
    <row r="177" spans="1:10" x14ac:dyDescent="0.15">
      <c r="A177" s="42" t="s">
        <v>188</v>
      </c>
      <c r="B177" s="3">
        <v>147</v>
      </c>
      <c r="C177" s="2" t="s">
        <v>500</v>
      </c>
      <c r="D177" s="4">
        <v>5.8300000000000001E-3</v>
      </c>
      <c r="E177" s="47"/>
      <c r="F177" s="12" t="s">
        <v>693</v>
      </c>
      <c r="G177" s="3">
        <v>25</v>
      </c>
      <c r="H177" s="13" t="s">
        <v>699</v>
      </c>
      <c r="J177" s="36">
        <v>78</v>
      </c>
    </row>
    <row r="178" spans="1:10" x14ac:dyDescent="0.15">
      <c r="A178" s="42" t="s">
        <v>188</v>
      </c>
      <c r="B178" s="3">
        <v>148</v>
      </c>
      <c r="C178" s="2" t="s">
        <v>622</v>
      </c>
      <c r="D178" s="8">
        <v>17.166666666666668</v>
      </c>
      <c r="E178" s="48">
        <v>2.1666666666666665</v>
      </c>
      <c r="F178" s="2">
        <v>7</v>
      </c>
      <c r="G178" s="3">
        <v>25</v>
      </c>
      <c r="H178" s="13" t="s">
        <v>430</v>
      </c>
      <c r="J178" s="36">
        <v>87</v>
      </c>
    </row>
    <row r="179" spans="1:10" x14ac:dyDescent="0.15">
      <c r="A179" s="42" t="s">
        <v>188</v>
      </c>
      <c r="B179" s="3">
        <v>149</v>
      </c>
      <c r="C179" s="2" t="s">
        <v>390</v>
      </c>
      <c r="D179" s="6">
        <v>8.5113803820237681</v>
      </c>
      <c r="E179" s="46">
        <v>0.41939833192673176</v>
      </c>
      <c r="F179" s="12">
        <v>7</v>
      </c>
      <c r="G179" s="3">
        <v>20</v>
      </c>
      <c r="H179" s="13" t="s">
        <v>689</v>
      </c>
      <c r="J179" s="36">
        <v>51</v>
      </c>
    </row>
    <row r="180" spans="1:10" x14ac:dyDescent="0.15">
      <c r="A180" s="42" t="s">
        <v>30</v>
      </c>
      <c r="B180" s="3">
        <v>150</v>
      </c>
      <c r="C180" s="2" t="s">
        <v>74</v>
      </c>
      <c r="D180" s="4">
        <v>2.8999999999999998E-3</v>
      </c>
      <c r="E180" s="47"/>
      <c r="F180" s="12">
        <v>4.5999999999999996</v>
      </c>
      <c r="G180" s="3">
        <v>30</v>
      </c>
      <c r="H180" s="13" t="s">
        <v>66</v>
      </c>
      <c r="J180" s="36">
        <v>3</v>
      </c>
    </row>
    <row r="181" spans="1:10" x14ac:dyDescent="0.15">
      <c r="A181" s="42" t="s">
        <v>76</v>
      </c>
      <c r="B181" s="3">
        <v>151</v>
      </c>
      <c r="C181" s="2" t="s">
        <v>569</v>
      </c>
      <c r="D181" s="4">
        <v>6.9499999999999996E-3</v>
      </c>
      <c r="E181" s="47">
        <v>1.0606601717798216E-3</v>
      </c>
      <c r="F181" s="12" t="s">
        <v>768</v>
      </c>
      <c r="G181" s="3" t="s">
        <v>763</v>
      </c>
      <c r="H181" s="13" t="s">
        <v>754</v>
      </c>
      <c r="J181" s="36" t="s">
        <v>769</v>
      </c>
    </row>
    <row r="182" spans="1:10" x14ac:dyDescent="0.15">
      <c r="A182" s="42" t="s">
        <v>30</v>
      </c>
      <c r="B182" s="51">
        <v>151.1</v>
      </c>
      <c r="C182" s="50" t="s">
        <v>569</v>
      </c>
      <c r="D182" s="66">
        <v>1.23E-2</v>
      </c>
      <c r="E182" s="64">
        <v>5.0000000000000001E-4</v>
      </c>
      <c r="F182" s="60" t="s">
        <v>664</v>
      </c>
      <c r="G182" s="51">
        <v>30</v>
      </c>
      <c r="H182" s="61" t="s">
        <v>160</v>
      </c>
      <c r="I182" s="62" t="s">
        <v>818</v>
      </c>
      <c r="J182" s="36">
        <v>90</v>
      </c>
    </row>
    <row r="183" spans="1:10" x14ac:dyDescent="0.15">
      <c r="A183" s="42" t="s">
        <v>30</v>
      </c>
      <c r="B183" s="3">
        <v>152</v>
      </c>
      <c r="C183" s="2" t="s">
        <v>633</v>
      </c>
      <c r="D183" s="6">
        <v>2</v>
      </c>
      <c r="E183" s="46"/>
      <c r="F183" s="12">
        <v>13</v>
      </c>
      <c r="G183" s="3">
        <v>25</v>
      </c>
      <c r="H183" s="13" t="s">
        <v>22</v>
      </c>
      <c r="J183" s="36">
        <v>1</v>
      </c>
    </row>
    <row r="184" spans="1:10" x14ac:dyDescent="0.15">
      <c r="A184" s="42" t="s">
        <v>188</v>
      </c>
      <c r="B184" s="3">
        <v>153</v>
      </c>
      <c r="C184" s="2" t="s">
        <v>310</v>
      </c>
      <c r="D184" s="8">
        <v>69.72</v>
      </c>
      <c r="E184" s="48">
        <v>17.16</v>
      </c>
      <c r="F184" s="12">
        <v>7</v>
      </c>
      <c r="G184" s="3" t="s">
        <v>75</v>
      </c>
      <c r="H184" s="13" t="s">
        <v>112</v>
      </c>
      <c r="J184" s="36">
        <v>40</v>
      </c>
    </row>
    <row r="185" spans="1:10" x14ac:dyDescent="0.15">
      <c r="A185" s="42" t="s">
        <v>188</v>
      </c>
      <c r="B185" s="51">
        <v>153.1</v>
      </c>
      <c r="C185" s="50" t="s">
        <v>310</v>
      </c>
      <c r="D185" s="58">
        <v>3.9</v>
      </c>
      <c r="E185" s="59"/>
      <c r="F185" s="60">
        <v>7.5</v>
      </c>
      <c r="G185" s="51">
        <v>20</v>
      </c>
      <c r="H185" s="61" t="s">
        <v>442</v>
      </c>
      <c r="I185" s="62" t="s">
        <v>819</v>
      </c>
      <c r="J185" s="36">
        <v>65</v>
      </c>
    </row>
    <row r="186" spans="1:10" x14ac:dyDescent="0.15">
      <c r="A186" s="42" t="s">
        <v>188</v>
      </c>
      <c r="B186" s="3">
        <v>154</v>
      </c>
      <c r="C186" s="2" t="s">
        <v>382</v>
      </c>
      <c r="D186" s="5">
        <v>179</v>
      </c>
      <c r="E186" s="9">
        <v>10</v>
      </c>
      <c r="F186" s="12">
        <v>6</v>
      </c>
      <c r="G186" s="3">
        <v>22</v>
      </c>
      <c r="H186" s="13" t="s">
        <v>112</v>
      </c>
      <c r="J186" s="36">
        <v>50</v>
      </c>
    </row>
    <row r="187" spans="1:10" x14ac:dyDescent="0.15">
      <c r="A187" s="42" t="s">
        <v>188</v>
      </c>
      <c r="B187" s="3">
        <v>155</v>
      </c>
      <c r="C187" s="2" t="s">
        <v>348</v>
      </c>
      <c r="D187" s="6">
        <v>3.6</v>
      </c>
      <c r="E187" s="46">
        <v>0.1</v>
      </c>
      <c r="F187" s="12">
        <v>7</v>
      </c>
      <c r="G187" s="3">
        <v>25</v>
      </c>
      <c r="H187" s="13" t="s">
        <v>283</v>
      </c>
      <c r="J187" s="36">
        <v>42</v>
      </c>
    </row>
    <row r="188" spans="1:10" x14ac:dyDescent="0.15">
      <c r="A188" s="42" t="s">
        <v>188</v>
      </c>
      <c r="B188" s="3">
        <v>156</v>
      </c>
      <c r="C188" s="2" t="s">
        <v>327</v>
      </c>
      <c r="D188" s="6">
        <v>0.88</v>
      </c>
      <c r="E188" s="46">
        <v>0.08</v>
      </c>
      <c r="F188" s="12">
        <v>7</v>
      </c>
      <c r="G188" s="3" t="s">
        <v>75</v>
      </c>
      <c r="H188" s="13" t="s">
        <v>112</v>
      </c>
      <c r="J188" s="36">
        <v>40</v>
      </c>
    </row>
    <row r="189" spans="1:10" x14ac:dyDescent="0.15">
      <c r="A189" s="42" t="s">
        <v>30</v>
      </c>
      <c r="B189" s="3">
        <v>157</v>
      </c>
      <c r="C189" s="2" t="s">
        <v>544</v>
      </c>
      <c r="D189" s="3">
        <v>1000</v>
      </c>
      <c r="E189" s="24">
        <v>60</v>
      </c>
      <c r="F189" s="12" t="s">
        <v>82</v>
      </c>
      <c r="G189" s="3">
        <v>25</v>
      </c>
      <c r="H189" s="13" t="s">
        <v>647</v>
      </c>
      <c r="J189" s="36">
        <v>5</v>
      </c>
    </row>
    <row r="190" spans="1:10" x14ac:dyDescent="0.15">
      <c r="A190" s="42" t="s">
        <v>188</v>
      </c>
      <c r="B190" s="3">
        <v>158</v>
      </c>
      <c r="C190" s="2" t="s">
        <v>383</v>
      </c>
      <c r="D190" s="8">
        <v>73</v>
      </c>
      <c r="E190" s="48">
        <v>2</v>
      </c>
      <c r="F190" s="12">
        <v>6</v>
      </c>
      <c r="G190" s="3">
        <v>22</v>
      </c>
      <c r="H190" s="13" t="s">
        <v>112</v>
      </c>
      <c r="J190" s="36">
        <v>50</v>
      </c>
    </row>
    <row r="191" spans="1:10" x14ac:dyDescent="0.15">
      <c r="A191" s="42" t="s">
        <v>76</v>
      </c>
      <c r="B191" s="3">
        <v>159</v>
      </c>
      <c r="C191" s="2" t="s">
        <v>71</v>
      </c>
      <c r="D191" s="4">
        <v>4.46E-5</v>
      </c>
      <c r="E191" s="47"/>
      <c r="F191" s="12">
        <v>4.5999999999999996</v>
      </c>
      <c r="G191" s="3">
        <v>20</v>
      </c>
      <c r="H191" s="13" t="s">
        <v>66</v>
      </c>
      <c r="J191" s="36">
        <v>3</v>
      </c>
    </row>
    <row r="192" spans="1:10" x14ac:dyDescent="0.15">
      <c r="A192" s="42" t="s">
        <v>188</v>
      </c>
      <c r="B192" s="3">
        <v>160</v>
      </c>
      <c r="C192" s="2" t="s">
        <v>354</v>
      </c>
      <c r="D192" s="8">
        <v>80</v>
      </c>
      <c r="E192" s="48"/>
      <c r="F192" s="12">
        <v>6</v>
      </c>
      <c r="G192" s="3">
        <v>23</v>
      </c>
      <c r="H192" s="13" t="s">
        <v>355</v>
      </c>
      <c r="J192" s="36">
        <v>43</v>
      </c>
    </row>
    <row r="193" spans="1:10" x14ac:dyDescent="0.15">
      <c r="A193" s="42" t="s">
        <v>76</v>
      </c>
      <c r="B193" s="3">
        <v>161</v>
      </c>
      <c r="C193" s="2" t="s">
        <v>168</v>
      </c>
      <c r="D193" s="4">
        <v>6.8053888888888894E-5</v>
      </c>
      <c r="E193" s="47">
        <v>4.6946390551377521E-5</v>
      </c>
      <c r="F193" s="29" t="s">
        <v>771</v>
      </c>
      <c r="G193" s="5" t="s">
        <v>727</v>
      </c>
      <c r="H193" s="30" t="s">
        <v>760</v>
      </c>
      <c r="I193" s="31"/>
      <c r="J193" s="36" t="s">
        <v>772</v>
      </c>
    </row>
    <row r="194" spans="1:10" x14ac:dyDescent="0.15">
      <c r="A194" s="42" t="s">
        <v>30</v>
      </c>
      <c r="B194" s="3">
        <v>162</v>
      </c>
      <c r="C194" s="2" t="s">
        <v>545</v>
      </c>
      <c r="D194" s="8">
        <v>98</v>
      </c>
      <c r="E194" s="48">
        <v>7.84</v>
      </c>
      <c r="F194" s="12" t="s">
        <v>649</v>
      </c>
      <c r="G194" s="3">
        <v>25</v>
      </c>
      <c r="H194" s="13" t="s">
        <v>81</v>
      </c>
      <c r="J194" s="36">
        <v>7</v>
      </c>
    </row>
    <row r="195" spans="1:10" x14ac:dyDescent="0.15">
      <c r="A195" s="42" t="s">
        <v>30</v>
      </c>
      <c r="B195" s="3">
        <v>163</v>
      </c>
      <c r="C195" s="2" t="s">
        <v>546</v>
      </c>
      <c r="D195" s="5">
        <v>310</v>
      </c>
      <c r="E195" s="9">
        <v>24.8</v>
      </c>
      <c r="F195" s="12" t="s">
        <v>651</v>
      </c>
      <c r="G195" s="3">
        <v>25</v>
      </c>
      <c r="H195" s="13" t="s">
        <v>81</v>
      </c>
      <c r="J195" s="36">
        <v>7</v>
      </c>
    </row>
    <row r="196" spans="1:10" x14ac:dyDescent="0.15">
      <c r="A196" s="42" t="s">
        <v>188</v>
      </c>
      <c r="B196" s="3">
        <v>164</v>
      </c>
      <c r="C196" s="2" t="s">
        <v>450</v>
      </c>
      <c r="D196" s="6">
        <v>0.35</v>
      </c>
      <c r="E196" s="46">
        <v>5.0999999999999997E-2</v>
      </c>
      <c r="F196" s="12">
        <v>7</v>
      </c>
      <c r="G196" s="3">
        <v>25</v>
      </c>
      <c r="H196" s="13" t="s">
        <v>452</v>
      </c>
      <c r="J196" s="36">
        <v>67</v>
      </c>
    </row>
    <row r="197" spans="1:10" x14ac:dyDescent="0.15">
      <c r="A197" s="42" t="s">
        <v>188</v>
      </c>
      <c r="B197" s="3">
        <v>165</v>
      </c>
      <c r="C197" s="2" t="s">
        <v>341</v>
      </c>
      <c r="D197" s="3" t="s">
        <v>342</v>
      </c>
      <c r="E197" s="24"/>
      <c r="F197" s="12">
        <v>7</v>
      </c>
      <c r="G197" s="3" t="s">
        <v>75</v>
      </c>
      <c r="H197" s="13" t="s">
        <v>112</v>
      </c>
      <c r="J197" s="36">
        <v>40</v>
      </c>
    </row>
    <row r="198" spans="1:10" x14ac:dyDescent="0.15">
      <c r="A198" s="42" t="s">
        <v>188</v>
      </c>
      <c r="B198" s="3">
        <v>166</v>
      </c>
      <c r="C198" s="2" t="s">
        <v>295</v>
      </c>
      <c r="D198" s="5">
        <v>149.46666666666667</v>
      </c>
      <c r="E198" s="9">
        <v>27.670441509548464</v>
      </c>
      <c r="F198" s="12" t="s">
        <v>773</v>
      </c>
      <c r="G198" s="3" t="s">
        <v>774</v>
      </c>
      <c r="H198" s="13" t="s">
        <v>775</v>
      </c>
      <c r="J198" s="36" t="s">
        <v>550</v>
      </c>
    </row>
    <row r="199" spans="1:10" x14ac:dyDescent="0.15">
      <c r="A199" s="42" t="s">
        <v>188</v>
      </c>
      <c r="B199" s="3">
        <v>167</v>
      </c>
      <c r="C199" s="2" t="s">
        <v>296</v>
      </c>
      <c r="D199" s="5">
        <v>229.7</v>
      </c>
      <c r="E199" s="9">
        <v>23.051681066681446</v>
      </c>
      <c r="F199" s="12" t="s">
        <v>776</v>
      </c>
      <c r="G199" s="3">
        <v>22</v>
      </c>
      <c r="H199" s="13" t="s">
        <v>760</v>
      </c>
      <c r="J199" s="36" t="s">
        <v>549</v>
      </c>
    </row>
    <row r="200" spans="1:10" x14ac:dyDescent="0.15">
      <c r="A200" s="42" t="s">
        <v>188</v>
      </c>
      <c r="B200" s="3">
        <v>168</v>
      </c>
      <c r="C200" s="2" t="s">
        <v>261</v>
      </c>
      <c r="D200" s="5">
        <v>338.88333333333333</v>
      </c>
      <c r="E200" s="9">
        <v>54.00149689283338</v>
      </c>
      <c r="F200" s="12" t="s">
        <v>777</v>
      </c>
      <c r="G200" s="3" t="s">
        <v>778</v>
      </c>
      <c r="H200" s="13" t="s">
        <v>779</v>
      </c>
      <c r="J200" s="36" t="s">
        <v>551</v>
      </c>
    </row>
    <row r="201" spans="1:10" x14ac:dyDescent="0.15">
      <c r="A201" s="42" t="s">
        <v>188</v>
      </c>
      <c r="B201" s="3">
        <v>169</v>
      </c>
      <c r="C201" s="2" t="s">
        <v>297</v>
      </c>
      <c r="D201" s="5">
        <v>237.35</v>
      </c>
      <c r="E201" s="9">
        <v>50.416713498600707</v>
      </c>
      <c r="F201" s="12" t="s">
        <v>776</v>
      </c>
      <c r="G201" s="3">
        <v>22</v>
      </c>
      <c r="H201" s="13" t="s">
        <v>760</v>
      </c>
      <c r="J201" s="36" t="s">
        <v>549</v>
      </c>
    </row>
    <row r="202" spans="1:10" x14ac:dyDescent="0.15">
      <c r="A202" s="42" t="s">
        <v>188</v>
      </c>
      <c r="B202" s="3">
        <v>170</v>
      </c>
      <c r="C202" s="2" t="s">
        <v>218</v>
      </c>
      <c r="D202" s="5">
        <v>484.03999999999996</v>
      </c>
      <c r="E202" s="9">
        <v>49.692584959931402</v>
      </c>
      <c r="F202" s="12" t="s">
        <v>780</v>
      </c>
      <c r="G202" s="3" t="s">
        <v>781</v>
      </c>
      <c r="H202" s="13" t="s">
        <v>775</v>
      </c>
      <c r="J202" s="36" t="s">
        <v>552</v>
      </c>
    </row>
    <row r="203" spans="1:10" x14ac:dyDescent="0.15">
      <c r="A203" s="42" t="s">
        <v>188</v>
      </c>
      <c r="B203" s="3">
        <v>171</v>
      </c>
      <c r="C203" s="2" t="s">
        <v>265</v>
      </c>
      <c r="D203" s="5">
        <v>394.66666666666669</v>
      </c>
      <c r="E203" s="9">
        <v>11.955891155967119</v>
      </c>
      <c r="F203" s="12" t="s">
        <v>776</v>
      </c>
      <c r="G203" s="3">
        <v>21</v>
      </c>
      <c r="H203" s="13" t="s">
        <v>760</v>
      </c>
      <c r="J203" s="36" t="s">
        <v>553</v>
      </c>
    </row>
    <row r="204" spans="1:10" x14ac:dyDescent="0.15">
      <c r="A204" s="42" t="s">
        <v>188</v>
      </c>
      <c r="B204" s="3">
        <v>172</v>
      </c>
      <c r="C204" s="2" t="s">
        <v>339</v>
      </c>
      <c r="D204" s="7">
        <v>0.04</v>
      </c>
      <c r="E204" s="45">
        <v>5.3932584269662919E-3</v>
      </c>
      <c r="F204" s="12">
        <v>7</v>
      </c>
      <c r="G204" s="3" t="s">
        <v>75</v>
      </c>
      <c r="H204" s="13" t="s">
        <v>112</v>
      </c>
      <c r="J204" s="36">
        <v>40</v>
      </c>
    </row>
    <row r="205" spans="1:10" x14ac:dyDescent="0.15">
      <c r="A205" s="42" t="s">
        <v>188</v>
      </c>
      <c r="B205" s="3">
        <v>173</v>
      </c>
      <c r="C205" s="2" t="s">
        <v>330</v>
      </c>
      <c r="D205" s="6">
        <v>0.84</v>
      </c>
      <c r="E205" s="46">
        <v>0.04</v>
      </c>
      <c r="F205" s="12">
        <v>7</v>
      </c>
      <c r="G205" s="3" t="s">
        <v>75</v>
      </c>
      <c r="H205" s="13" t="s">
        <v>112</v>
      </c>
      <c r="J205" s="36">
        <v>40</v>
      </c>
    </row>
    <row r="206" spans="1:10" x14ac:dyDescent="0.15">
      <c r="A206" s="42" t="s">
        <v>76</v>
      </c>
      <c r="B206" s="3">
        <v>174</v>
      </c>
      <c r="C206" s="2" t="s">
        <v>196</v>
      </c>
      <c r="D206" s="7">
        <v>1.0999999999999999E-2</v>
      </c>
      <c r="E206" s="45">
        <v>2E-3</v>
      </c>
      <c r="F206" s="12">
        <v>5.6</v>
      </c>
      <c r="G206" s="3">
        <v>21</v>
      </c>
      <c r="H206" s="13" t="s">
        <v>148</v>
      </c>
      <c r="J206" s="36">
        <v>28</v>
      </c>
    </row>
    <row r="207" spans="1:10" x14ac:dyDescent="0.15">
      <c r="A207" s="42" t="s">
        <v>188</v>
      </c>
      <c r="B207" s="3">
        <v>175</v>
      </c>
      <c r="C207" s="2" t="s">
        <v>384</v>
      </c>
      <c r="D207" s="8">
        <v>219</v>
      </c>
      <c r="E207" s="48">
        <v>13</v>
      </c>
      <c r="F207" s="12">
        <v>6</v>
      </c>
      <c r="G207" s="3">
        <v>22</v>
      </c>
      <c r="H207" s="13" t="s">
        <v>112</v>
      </c>
      <c r="J207" s="36">
        <v>50</v>
      </c>
    </row>
    <row r="208" spans="1:10" x14ac:dyDescent="0.15">
      <c r="A208" s="42" t="s">
        <v>188</v>
      </c>
      <c r="B208" s="3">
        <v>176</v>
      </c>
      <c r="C208" s="2" t="s">
        <v>329</v>
      </c>
      <c r="D208" s="6">
        <v>0.84</v>
      </c>
      <c r="E208" s="46">
        <v>0.08</v>
      </c>
      <c r="F208" s="12">
        <v>7</v>
      </c>
      <c r="G208" s="3" t="s">
        <v>75</v>
      </c>
      <c r="H208" s="13" t="s">
        <v>112</v>
      </c>
      <c r="J208" s="36">
        <v>40</v>
      </c>
    </row>
    <row r="209" spans="1:10" x14ac:dyDescent="0.15">
      <c r="A209" s="42" t="s">
        <v>188</v>
      </c>
      <c r="B209" s="3">
        <v>177</v>
      </c>
      <c r="C209" s="2" t="s">
        <v>317</v>
      </c>
      <c r="D209" s="6">
        <v>3.2600000000000002</v>
      </c>
      <c r="E209" s="46">
        <v>1.6122034611053293</v>
      </c>
      <c r="F209" s="12">
        <v>7</v>
      </c>
      <c r="G209" s="3" t="s">
        <v>63</v>
      </c>
      <c r="H209" s="13" t="s">
        <v>760</v>
      </c>
      <c r="J209" s="36">
        <v>40</v>
      </c>
    </row>
    <row r="210" spans="1:10" x14ac:dyDescent="0.15">
      <c r="A210" s="42" t="s">
        <v>30</v>
      </c>
      <c r="B210" s="3">
        <v>178</v>
      </c>
      <c r="C210" s="2" t="s">
        <v>644</v>
      </c>
      <c r="D210" s="5">
        <v>70</v>
      </c>
      <c r="E210" s="48"/>
      <c r="F210" s="12">
        <v>13</v>
      </c>
      <c r="G210" s="3">
        <v>25</v>
      </c>
      <c r="H210" s="13" t="s">
        <v>47</v>
      </c>
      <c r="J210" s="36">
        <v>2</v>
      </c>
    </row>
    <row r="211" spans="1:10" x14ac:dyDescent="0.15">
      <c r="A211" s="42" t="s">
        <v>188</v>
      </c>
      <c r="B211" s="3">
        <v>179</v>
      </c>
      <c r="C211" s="2" t="s">
        <v>312</v>
      </c>
      <c r="D211" s="8">
        <v>53.6</v>
      </c>
      <c r="E211" s="48">
        <v>17.88</v>
      </c>
      <c r="F211" s="12">
        <v>7</v>
      </c>
      <c r="G211" s="3" t="s">
        <v>75</v>
      </c>
      <c r="H211" s="13" t="s">
        <v>112</v>
      </c>
      <c r="J211" s="36">
        <v>40</v>
      </c>
    </row>
    <row r="212" spans="1:10" x14ac:dyDescent="0.15">
      <c r="A212" s="42" t="s">
        <v>76</v>
      </c>
      <c r="B212" s="3">
        <v>180</v>
      </c>
      <c r="C212" s="2" t="s">
        <v>366</v>
      </c>
      <c r="D212" s="8">
        <v>30</v>
      </c>
      <c r="E212" s="48"/>
      <c r="F212" s="12">
        <v>7</v>
      </c>
      <c r="G212" s="3">
        <v>21</v>
      </c>
      <c r="H212" s="13" t="s">
        <v>457</v>
      </c>
      <c r="J212" s="36">
        <v>68</v>
      </c>
    </row>
    <row r="213" spans="1:10" x14ac:dyDescent="0.15">
      <c r="A213" s="42" t="s">
        <v>30</v>
      </c>
      <c r="B213" s="51">
        <v>180.1</v>
      </c>
      <c r="C213" s="50" t="s">
        <v>366</v>
      </c>
      <c r="D213" s="58">
        <v>0.37</v>
      </c>
      <c r="E213" s="59"/>
      <c r="F213" s="60">
        <v>7</v>
      </c>
      <c r="G213" s="51">
        <v>25</v>
      </c>
      <c r="H213" s="61" t="s">
        <v>368</v>
      </c>
      <c r="I213" s="62" t="s">
        <v>821</v>
      </c>
      <c r="J213" s="36">
        <v>47</v>
      </c>
    </row>
    <row r="214" spans="1:10" x14ac:dyDescent="0.15">
      <c r="A214" s="42" t="s">
        <v>188</v>
      </c>
      <c r="B214" s="3">
        <v>181</v>
      </c>
      <c r="C214" s="2" t="s">
        <v>379</v>
      </c>
      <c r="D214" s="3" t="s">
        <v>503</v>
      </c>
      <c r="E214" s="24"/>
      <c r="F214" s="12">
        <v>4.5</v>
      </c>
      <c r="G214" s="3">
        <v>65</v>
      </c>
      <c r="H214" s="13" t="s">
        <v>700</v>
      </c>
      <c r="J214" s="36">
        <v>79</v>
      </c>
    </row>
    <row r="215" spans="1:10" x14ac:dyDescent="0.15">
      <c r="A215" s="42" t="s">
        <v>188</v>
      </c>
      <c r="B215" s="51">
        <v>181.1</v>
      </c>
      <c r="C215" s="50" t="s">
        <v>379</v>
      </c>
      <c r="D215" s="69">
        <v>0.84120370370370368</v>
      </c>
      <c r="E215" s="64"/>
      <c r="F215" s="60">
        <v>4.2</v>
      </c>
      <c r="G215" s="51">
        <v>25</v>
      </c>
      <c r="H215" s="61" t="s">
        <v>666</v>
      </c>
      <c r="I215" s="62" t="s">
        <v>821</v>
      </c>
      <c r="J215" s="36">
        <v>49</v>
      </c>
    </row>
    <row r="216" spans="1:10" x14ac:dyDescent="0.15">
      <c r="A216" s="42" t="s">
        <v>76</v>
      </c>
      <c r="B216" s="3">
        <v>182</v>
      </c>
      <c r="C216" s="2" t="s">
        <v>197</v>
      </c>
      <c r="D216" s="4">
        <v>4.1999999999999997E-3</v>
      </c>
      <c r="E216" s="47">
        <v>0.03</v>
      </c>
      <c r="F216" s="12">
        <v>5.6</v>
      </c>
      <c r="G216" s="3">
        <v>21</v>
      </c>
      <c r="H216" s="13" t="s">
        <v>148</v>
      </c>
      <c r="J216" s="36">
        <v>28</v>
      </c>
    </row>
    <row r="217" spans="1:10" x14ac:dyDescent="0.15">
      <c r="A217" s="42" t="s">
        <v>30</v>
      </c>
      <c r="B217" s="3">
        <v>183</v>
      </c>
      <c r="C217" s="2" t="s">
        <v>128</v>
      </c>
      <c r="D217" s="7">
        <v>2.1299999999999999E-2</v>
      </c>
      <c r="E217" s="46"/>
      <c r="F217" s="12">
        <v>7</v>
      </c>
      <c r="G217" s="3">
        <v>25</v>
      </c>
      <c r="H217" s="13" t="s">
        <v>127</v>
      </c>
      <c r="J217" s="36">
        <v>14</v>
      </c>
    </row>
    <row r="218" spans="1:10" x14ac:dyDescent="0.15">
      <c r="A218" s="42" t="s">
        <v>76</v>
      </c>
      <c r="B218" s="3">
        <v>184</v>
      </c>
      <c r="C218" s="2" t="s">
        <v>15</v>
      </c>
      <c r="D218" s="6">
        <v>5.4620000000000006</v>
      </c>
      <c r="E218" s="46">
        <v>0.97356047577949312</v>
      </c>
      <c r="F218" s="12">
        <v>7</v>
      </c>
      <c r="G218" s="5" t="s">
        <v>722</v>
      </c>
      <c r="H218" s="13" t="s">
        <v>782</v>
      </c>
      <c r="J218" s="36" t="s">
        <v>784</v>
      </c>
    </row>
    <row r="219" spans="1:10" x14ac:dyDescent="0.15">
      <c r="A219" s="42" t="s">
        <v>76</v>
      </c>
      <c r="B219" s="51">
        <v>184.1</v>
      </c>
      <c r="C219" s="50" t="s">
        <v>15</v>
      </c>
      <c r="D219" s="52">
        <v>1.5633333333333335</v>
      </c>
      <c r="E219" s="53">
        <v>0.50635955604688643</v>
      </c>
      <c r="F219" s="60">
        <v>5.6</v>
      </c>
      <c r="G219" s="51">
        <v>23</v>
      </c>
      <c r="H219" s="61" t="s">
        <v>148</v>
      </c>
      <c r="I219" s="62" t="s">
        <v>820</v>
      </c>
      <c r="J219" s="36" t="s">
        <v>783</v>
      </c>
    </row>
    <row r="220" spans="1:10" x14ac:dyDescent="0.15">
      <c r="A220" s="42" t="s">
        <v>76</v>
      </c>
      <c r="B220" s="51">
        <v>184.2</v>
      </c>
      <c r="C220" s="50" t="s">
        <v>15</v>
      </c>
      <c r="D220" s="52">
        <v>21.7</v>
      </c>
      <c r="E220" s="59"/>
      <c r="F220" s="60">
        <v>7.5</v>
      </c>
      <c r="G220" s="51">
        <v>25</v>
      </c>
      <c r="H220" s="61" t="s">
        <v>401</v>
      </c>
      <c r="I220" s="62" t="s">
        <v>822</v>
      </c>
      <c r="J220" s="36">
        <v>53</v>
      </c>
    </row>
    <row r="221" spans="1:10" x14ac:dyDescent="0.15">
      <c r="A221" s="42" t="s">
        <v>76</v>
      </c>
      <c r="B221" s="51">
        <v>184.3</v>
      </c>
      <c r="C221" s="50" t="s">
        <v>15</v>
      </c>
      <c r="D221" s="52">
        <v>35.549999999999997</v>
      </c>
      <c r="E221" s="53"/>
      <c r="F221" s="60">
        <v>7.2</v>
      </c>
      <c r="G221" s="51">
        <v>16</v>
      </c>
      <c r="H221" s="61" t="s">
        <v>178</v>
      </c>
      <c r="I221" s="62" t="s">
        <v>823</v>
      </c>
      <c r="J221" s="36">
        <v>25</v>
      </c>
    </row>
    <row r="222" spans="1:10" x14ac:dyDescent="0.15">
      <c r="A222" s="42" t="s">
        <v>30</v>
      </c>
      <c r="B222" s="3">
        <v>185</v>
      </c>
      <c r="C222" s="2" t="s">
        <v>654</v>
      </c>
      <c r="D222" s="8">
        <v>11.6</v>
      </c>
      <c r="E222" s="48">
        <v>0.57999999999999996</v>
      </c>
      <c r="F222" s="12">
        <v>3.77</v>
      </c>
      <c r="G222" s="3">
        <v>25</v>
      </c>
      <c r="H222" s="13" t="s">
        <v>647</v>
      </c>
      <c r="J222" s="36">
        <v>9</v>
      </c>
    </row>
    <row r="223" spans="1:10" x14ac:dyDescent="0.15">
      <c r="A223" s="42" t="s">
        <v>188</v>
      </c>
      <c r="B223" s="3">
        <v>186</v>
      </c>
      <c r="C223" s="2" t="s">
        <v>336</v>
      </c>
      <c r="D223" s="6">
        <v>0.4</v>
      </c>
      <c r="E223" s="46">
        <v>0.08</v>
      </c>
      <c r="F223" s="12">
        <v>7</v>
      </c>
      <c r="G223" s="3" t="s">
        <v>75</v>
      </c>
      <c r="H223" s="13" t="s">
        <v>112</v>
      </c>
      <c r="J223" s="36">
        <v>40</v>
      </c>
    </row>
    <row r="224" spans="1:10" x14ac:dyDescent="0.15">
      <c r="A224" s="42" t="s">
        <v>188</v>
      </c>
      <c r="B224" s="3">
        <v>187</v>
      </c>
      <c r="C224" s="2" t="s">
        <v>385</v>
      </c>
      <c r="D224" s="8">
        <v>28</v>
      </c>
      <c r="E224" s="48">
        <v>2</v>
      </c>
      <c r="F224" s="12">
        <v>6</v>
      </c>
      <c r="G224" s="3">
        <v>22</v>
      </c>
      <c r="H224" s="13" t="s">
        <v>112</v>
      </c>
      <c r="J224" s="36">
        <v>50</v>
      </c>
    </row>
    <row r="225" spans="1:10" x14ac:dyDescent="0.15">
      <c r="A225" s="42" t="s">
        <v>30</v>
      </c>
      <c r="B225" s="3">
        <v>188</v>
      </c>
      <c r="C225" s="2" t="s">
        <v>86</v>
      </c>
      <c r="D225" s="8">
        <v>10</v>
      </c>
      <c r="E225" s="48">
        <v>0.2</v>
      </c>
      <c r="F225" s="12" t="s">
        <v>85</v>
      </c>
      <c r="G225" s="3">
        <v>25</v>
      </c>
      <c r="H225" s="13" t="s">
        <v>647</v>
      </c>
      <c r="J225" s="36">
        <v>6</v>
      </c>
    </row>
    <row r="226" spans="1:10" x14ac:dyDescent="0.15">
      <c r="A226" s="42" t="s">
        <v>30</v>
      </c>
      <c r="B226" s="3">
        <v>189</v>
      </c>
      <c r="C226" s="2" t="s">
        <v>89</v>
      </c>
      <c r="D226" s="8">
        <v>11.5</v>
      </c>
      <c r="E226" s="48"/>
      <c r="F226" s="12">
        <v>1</v>
      </c>
      <c r="G226" s="3">
        <v>25</v>
      </c>
      <c r="H226" s="13" t="s">
        <v>648</v>
      </c>
      <c r="J226" s="36">
        <v>6</v>
      </c>
    </row>
    <row r="227" spans="1:10" x14ac:dyDescent="0.15">
      <c r="A227" s="42" t="s">
        <v>30</v>
      </c>
      <c r="B227" s="3">
        <v>190</v>
      </c>
      <c r="C227" s="2" t="s">
        <v>88</v>
      </c>
      <c r="D227" s="8">
        <v>11.5</v>
      </c>
      <c r="E227" s="48"/>
      <c r="F227" s="12">
        <v>1</v>
      </c>
      <c r="G227" s="3">
        <v>25</v>
      </c>
      <c r="H227" s="13" t="s">
        <v>648</v>
      </c>
      <c r="J227" s="36">
        <v>6</v>
      </c>
    </row>
    <row r="228" spans="1:10" x14ac:dyDescent="0.15">
      <c r="A228" s="42" t="s">
        <v>30</v>
      </c>
      <c r="B228" s="3">
        <v>191</v>
      </c>
      <c r="C228" s="2" t="s">
        <v>653</v>
      </c>
      <c r="D228" s="8">
        <v>43.2</v>
      </c>
      <c r="E228" s="48">
        <v>2.16</v>
      </c>
      <c r="F228" s="12">
        <v>3.77</v>
      </c>
      <c r="G228" s="3">
        <v>25</v>
      </c>
      <c r="H228" s="13" t="s">
        <v>647</v>
      </c>
      <c r="J228" s="36">
        <v>9</v>
      </c>
    </row>
    <row r="229" spans="1:10" x14ac:dyDescent="0.15">
      <c r="A229" s="42" t="s">
        <v>76</v>
      </c>
      <c r="B229" s="3">
        <v>192</v>
      </c>
      <c r="C229" s="2" t="s">
        <v>198</v>
      </c>
      <c r="D229" s="6">
        <v>1.7</v>
      </c>
      <c r="E229" s="46">
        <v>0.6</v>
      </c>
      <c r="F229" s="12">
        <v>5.6</v>
      </c>
      <c r="G229" s="3">
        <v>21</v>
      </c>
      <c r="H229" s="13" t="s">
        <v>148</v>
      </c>
      <c r="J229" s="36">
        <v>28</v>
      </c>
    </row>
    <row r="230" spans="1:10" x14ac:dyDescent="0.15">
      <c r="A230" s="42" t="s">
        <v>30</v>
      </c>
      <c r="B230" s="3">
        <v>193</v>
      </c>
      <c r="C230" s="2" t="s">
        <v>26</v>
      </c>
      <c r="D230" s="5">
        <v>648.66666666666663</v>
      </c>
      <c r="E230" s="9"/>
      <c r="F230" s="12">
        <v>13</v>
      </c>
      <c r="G230" s="3">
        <v>25</v>
      </c>
      <c r="H230" s="13" t="s">
        <v>22</v>
      </c>
      <c r="J230" s="36">
        <v>1</v>
      </c>
    </row>
    <row r="231" spans="1:10" x14ac:dyDescent="0.15">
      <c r="A231" s="42" t="s">
        <v>30</v>
      </c>
      <c r="B231" s="3">
        <v>194</v>
      </c>
      <c r="C231" s="2" t="s">
        <v>632</v>
      </c>
      <c r="D231" s="5">
        <v>275</v>
      </c>
      <c r="E231" s="9"/>
      <c r="F231" s="12">
        <v>13</v>
      </c>
      <c r="G231" s="3">
        <v>25</v>
      </c>
      <c r="H231" s="13" t="s">
        <v>22</v>
      </c>
      <c r="J231" s="36">
        <v>1</v>
      </c>
    </row>
    <row r="232" spans="1:10" x14ac:dyDescent="0.15">
      <c r="A232" s="42" t="s">
        <v>188</v>
      </c>
      <c r="B232" s="3">
        <v>195</v>
      </c>
      <c r="C232" s="2" t="s">
        <v>695</v>
      </c>
      <c r="D232" s="4">
        <v>3.47E-3</v>
      </c>
      <c r="E232" s="47"/>
      <c r="F232" s="12" t="s">
        <v>693</v>
      </c>
      <c r="G232" s="3">
        <v>25</v>
      </c>
      <c r="H232" s="13" t="s">
        <v>694</v>
      </c>
      <c r="J232" s="36">
        <v>70</v>
      </c>
    </row>
    <row r="233" spans="1:10" x14ac:dyDescent="0.15">
      <c r="A233" s="42" t="s">
        <v>188</v>
      </c>
      <c r="B233" s="3">
        <v>196</v>
      </c>
      <c r="C233" s="2" t="s">
        <v>316</v>
      </c>
      <c r="D233" s="8">
        <v>28.52</v>
      </c>
      <c r="E233" s="48">
        <v>0.24</v>
      </c>
      <c r="F233" s="12">
        <v>7</v>
      </c>
      <c r="G233" s="3" t="s">
        <v>75</v>
      </c>
      <c r="H233" s="13" t="s">
        <v>112</v>
      </c>
      <c r="J233" s="36">
        <v>40</v>
      </c>
    </row>
    <row r="234" spans="1:10" x14ac:dyDescent="0.15">
      <c r="A234" s="42" t="s">
        <v>188</v>
      </c>
      <c r="B234" s="3">
        <v>197</v>
      </c>
      <c r="C234" s="2" t="s">
        <v>424</v>
      </c>
      <c r="D234" s="5">
        <v>283</v>
      </c>
      <c r="E234" s="46"/>
      <c r="F234" s="12">
        <v>7</v>
      </c>
      <c r="G234" s="3">
        <v>20</v>
      </c>
      <c r="H234" s="13" t="s">
        <v>689</v>
      </c>
      <c r="J234" s="36">
        <v>59</v>
      </c>
    </row>
    <row r="235" spans="1:10" x14ac:dyDescent="0.15">
      <c r="A235" s="42" t="s">
        <v>188</v>
      </c>
      <c r="B235" s="3">
        <v>198</v>
      </c>
      <c r="C235" s="2" t="s">
        <v>340</v>
      </c>
      <c r="D235" s="7">
        <v>0.03</v>
      </c>
      <c r="E235" s="45">
        <v>7.6967930029154513E-3</v>
      </c>
      <c r="F235" s="12">
        <v>7</v>
      </c>
      <c r="G235" s="3" t="s">
        <v>75</v>
      </c>
      <c r="H235" s="13" t="s">
        <v>112</v>
      </c>
      <c r="J235" s="36">
        <v>40</v>
      </c>
    </row>
    <row r="236" spans="1:10" x14ac:dyDescent="0.15">
      <c r="A236" s="42" t="s">
        <v>30</v>
      </c>
      <c r="B236" s="3">
        <v>199</v>
      </c>
      <c r="C236" s="2" t="s">
        <v>890</v>
      </c>
      <c r="D236" s="5">
        <v>455.8</v>
      </c>
      <c r="E236" s="9">
        <v>4.3</v>
      </c>
      <c r="F236" s="12">
        <v>7</v>
      </c>
      <c r="G236" s="3">
        <v>20</v>
      </c>
      <c r="H236" s="13" t="s">
        <v>262</v>
      </c>
      <c r="J236" s="36">
        <v>32</v>
      </c>
    </row>
    <row r="237" spans="1:10" x14ac:dyDescent="0.15">
      <c r="A237" s="42" t="s">
        <v>188</v>
      </c>
      <c r="B237" s="3">
        <v>200</v>
      </c>
      <c r="C237" s="2" t="s">
        <v>466</v>
      </c>
      <c r="D237" s="6">
        <v>0.44666666666666666</v>
      </c>
      <c r="E237" s="46"/>
      <c r="F237" s="12">
        <v>5.76</v>
      </c>
      <c r="G237" s="3">
        <v>25</v>
      </c>
      <c r="H237" s="13" t="s">
        <v>393</v>
      </c>
      <c r="J237" s="36">
        <v>72</v>
      </c>
    </row>
    <row r="238" spans="1:10" x14ac:dyDescent="0.15">
      <c r="A238" s="42" t="s">
        <v>188</v>
      </c>
      <c r="B238" s="3">
        <v>201</v>
      </c>
      <c r="C238" s="2" t="s">
        <v>325</v>
      </c>
      <c r="D238" s="6">
        <v>1.2</v>
      </c>
      <c r="E238" s="46">
        <v>0.2</v>
      </c>
      <c r="F238" s="12">
        <v>7</v>
      </c>
      <c r="G238" s="3" t="s">
        <v>75</v>
      </c>
      <c r="H238" s="13" t="s">
        <v>112</v>
      </c>
      <c r="J238" s="36">
        <v>40</v>
      </c>
    </row>
    <row r="239" spans="1:10" x14ac:dyDescent="0.15">
      <c r="A239" s="42" t="s">
        <v>188</v>
      </c>
      <c r="B239" s="3">
        <v>202</v>
      </c>
      <c r="C239" s="2" t="s">
        <v>335</v>
      </c>
      <c r="D239" s="6">
        <v>0.48</v>
      </c>
      <c r="E239" s="46">
        <v>0</v>
      </c>
      <c r="F239" s="12">
        <v>7</v>
      </c>
      <c r="G239" s="3" t="s">
        <v>75</v>
      </c>
      <c r="H239" s="13" t="s">
        <v>112</v>
      </c>
      <c r="J239" s="36">
        <v>40</v>
      </c>
    </row>
    <row r="240" spans="1:10" x14ac:dyDescent="0.15">
      <c r="A240" s="42" t="s">
        <v>76</v>
      </c>
      <c r="B240" s="3">
        <v>203</v>
      </c>
      <c r="C240" s="2" t="s">
        <v>237</v>
      </c>
      <c r="D240" s="4">
        <v>3.3299999999999996E-4</v>
      </c>
      <c r="E240" s="47">
        <v>7.7781745930520239E-5</v>
      </c>
      <c r="F240" s="29">
        <v>7</v>
      </c>
      <c r="G240" s="5">
        <v>25</v>
      </c>
      <c r="H240" s="30" t="s">
        <v>227</v>
      </c>
      <c r="I240" s="31"/>
      <c r="J240" s="36">
        <v>31</v>
      </c>
    </row>
    <row r="241" spans="1:10" x14ac:dyDescent="0.15">
      <c r="A241" s="42" t="s">
        <v>76</v>
      </c>
      <c r="B241" s="3">
        <v>204</v>
      </c>
      <c r="C241" s="2" t="s">
        <v>202</v>
      </c>
      <c r="D241" s="3" t="s">
        <v>215</v>
      </c>
      <c r="E241" s="24"/>
      <c r="F241" s="12">
        <v>5.6</v>
      </c>
      <c r="G241" s="3">
        <v>21</v>
      </c>
      <c r="H241" s="13" t="s">
        <v>148</v>
      </c>
      <c r="J241" s="36">
        <v>28</v>
      </c>
    </row>
    <row r="242" spans="1:10" x14ac:dyDescent="0.15">
      <c r="A242" s="42" t="s">
        <v>188</v>
      </c>
      <c r="B242" s="3">
        <v>205</v>
      </c>
      <c r="C242" s="2" t="s">
        <v>414</v>
      </c>
      <c r="D242" s="5">
        <v>460</v>
      </c>
      <c r="E242" s="9"/>
      <c r="F242" s="12">
        <v>7</v>
      </c>
      <c r="G242" s="3">
        <v>25</v>
      </c>
      <c r="H242" s="13" t="s">
        <v>401</v>
      </c>
      <c r="J242" s="36">
        <v>56</v>
      </c>
    </row>
    <row r="243" spans="1:10" x14ac:dyDescent="0.15">
      <c r="A243" s="42" t="s">
        <v>76</v>
      </c>
      <c r="B243" s="3">
        <v>206</v>
      </c>
      <c r="C243" s="2" t="s">
        <v>608</v>
      </c>
      <c r="D243" s="7">
        <v>4.0451248097412483E-2</v>
      </c>
      <c r="E243" s="45">
        <v>1.6465451099705243E-2</v>
      </c>
      <c r="F243" s="2" t="s">
        <v>757</v>
      </c>
      <c r="G243" s="3" t="s">
        <v>756</v>
      </c>
      <c r="H243" s="13" t="s">
        <v>754</v>
      </c>
      <c r="J243" s="36" t="s">
        <v>785</v>
      </c>
    </row>
    <row r="244" spans="1:10" x14ac:dyDescent="0.15">
      <c r="A244" s="42" t="s">
        <v>76</v>
      </c>
      <c r="B244" s="51">
        <v>206.1</v>
      </c>
      <c r="C244" s="50" t="s">
        <v>608</v>
      </c>
      <c r="D244" s="65">
        <v>8.3999999999999995E-3</v>
      </c>
      <c r="E244" s="64"/>
      <c r="F244" s="60">
        <v>8</v>
      </c>
      <c r="G244" s="51">
        <v>22</v>
      </c>
      <c r="H244" s="61" t="s">
        <v>135</v>
      </c>
      <c r="I244" s="62" t="s">
        <v>825</v>
      </c>
      <c r="J244" s="36">
        <v>15</v>
      </c>
    </row>
    <row r="245" spans="1:10" x14ac:dyDescent="0.15">
      <c r="A245" s="42" t="s">
        <v>76</v>
      </c>
      <c r="B245" s="51">
        <v>206.2</v>
      </c>
      <c r="C245" s="50" t="s">
        <v>608</v>
      </c>
      <c r="D245" s="65">
        <v>1.7000000000000001E-2</v>
      </c>
      <c r="E245" s="68">
        <v>2E-3</v>
      </c>
      <c r="F245" s="50">
        <v>10.6</v>
      </c>
      <c r="G245" s="51">
        <v>20</v>
      </c>
      <c r="H245" s="61" t="s">
        <v>704</v>
      </c>
      <c r="I245" s="62" t="s">
        <v>824</v>
      </c>
      <c r="J245" s="36">
        <v>86</v>
      </c>
    </row>
    <row r="246" spans="1:10" x14ac:dyDescent="0.15">
      <c r="A246" s="42" t="s">
        <v>188</v>
      </c>
      <c r="B246" s="3">
        <v>207</v>
      </c>
      <c r="C246" s="2" t="s">
        <v>311</v>
      </c>
      <c r="D246" s="8">
        <v>58</v>
      </c>
      <c r="E246" s="48">
        <v>3.08</v>
      </c>
      <c r="F246" s="12">
        <v>7</v>
      </c>
      <c r="G246" s="3" t="s">
        <v>75</v>
      </c>
      <c r="H246" s="13" t="s">
        <v>112</v>
      </c>
      <c r="J246" s="36">
        <v>40</v>
      </c>
    </row>
    <row r="247" spans="1:10" x14ac:dyDescent="0.15">
      <c r="A247" s="42" t="s">
        <v>76</v>
      </c>
      <c r="B247" s="3">
        <v>208</v>
      </c>
      <c r="C247" s="2" t="s">
        <v>122</v>
      </c>
      <c r="D247" s="4">
        <v>4.5199999999999998E-4</v>
      </c>
      <c r="E247" s="47">
        <v>2.7626074639731208E-4</v>
      </c>
      <c r="F247" s="12" t="s">
        <v>786</v>
      </c>
      <c r="G247" s="3" t="s">
        <v>756</v>
      </c>
      <c r="H247" s="13" t="s">
        <v>787</v>
      </c>
      <c r="J247" s="36" t="s">
        <v>788</v>
      </c>
    </row>
    <row r="248" spans="1:10" x14ac:dyDescent="0.15">
      <c r="A248" s="42" t="s">
        <v>76</v>
      </c>
      <c r="B248" s="3">
        <v>209</v>
      </c>
      <c r="C248" s="2" t="s">
        <v>611</v>
      </c>
      <c r="D248" s="8">
        <v>39.199999999999996</v>
      </c>
      <c r="E248" s="48">
        <v>9.301612763386812</v>
      </c>
      <c r="F248" s="29" t="s">
        <v>715</v>
      </c>
      <c r="G248" s="5" t="s">
        <v>756</v>
      </c>
      <c r="H248" s="30" t="s">
        <v>760</v>
      </c>
      <c r="I248" s="31"/>
      <c r="J248" s="36" t="s">
        <v>789</v>
      </c>
    </row>
    <row r="249" spans="1:10" x14ac:dyDescent="0.15">
      <c r="A249" s="42" t="s">
        <v>76</v>
      </c>
      <c r="B249" s="3">
        <v>210</v>
      </c>
      <c r="C249" s="2" t="s">
        <v>607</v>
      </c>
      <c r="D249" s="6">
        <v>0.77514951199338289</v>
      </c>
      <c r="E249" s="46">
        <v>9.5593490628428909E-2</v>
      </c>
      <c r="F249" s="12" t="s">
        <v>145</v>
      </c>
      <c r="G249" s="3" t="s">
        <v>756</v>
      </c>
      <c r="H249" s="13" t="s">
        <v>754</v>
      </c>
      <c r="J249" s="36" t="s">
        <v>790</v>
      </c>
    </row>
    <row r="250" spans="1:10" x14ac:dyDescent="0.15">
      <c r="A250" s="42" t="s">
        <v>76</v>
      </c>
      <c r="B250" s="51">
        <v>210.1</v>
      </c>
      <c r="C250" s="50" t="s">
        <v>607</v>
      </c>
      <c r="D250" s="58">
        <v>0.2142857142857143</v>
      </c>
      <c r="E250" s="59"/>
      <c r="F250" s="60">
        <v>8</v>
      </c>
      <c r="G250" s="51">
        <v>22</v>
      </c>
      <c r="H250" s="61" t="s">
        <v>135</v>
      </c>
      <c r="I250" s="62" t="s">
        <v>826</v>
      </c>
      <c r="J250" s="36">
        <v>15</v>
      </c>
    </row>
    <row r="251" spans="1:10" x14ac:dyDescent="0.15">
      <c r="A251" s="42" t="s">
        <v>188</v>
      </c>
      <c r="B251" s="3">
        <v>211</v>
      </c>
      <c r="C251" s="2" t="s">
        <v>286</v>
      </c>
      <c r="D251" s="5">
        <v>153.86648715797511</v>
      </c>
      <c r="E251" s="9">
        <v>59.904394948519759</v>
      </c>
      <c r="F251" s="12">
        <v>7</v>
      </c>
      <c r="G251" s="3">
        <v>25</v>
      </c>
      <c r="H251" s="13" t="s">
        <v>827</v>
      </c>
      <c r="J251" s="36" t="s">
        <v>791</v>
      </c>
    </row>
    <row r="252" spans="1:10" x14ac:dyDescent="0.15">
      <c r="A252" s="42" t="s">
        <v>188</v>
      </c>
      <c r="B252" s="51">
        <v>211.1</v>
      </c>
      <c r="C252" s="50" t="s">
        <v>286</v>
      </c>
      <c r="D252" s="55">
        <v>317.48</v>
      </c>
      <c r="E252" s="63">
        <v>25.52</v>
      </c>
      <c r="F252" s="60">
        <v>7</v>
      </c>
      <c r="G252" s="51" t="s">
        <v>75</v>
      </c>
      <c r="H252" s="61" t="s">
        <v>112</v>
      </c>
      <c r="I252" s="62" t="s">
        <v>828</v>
      </c>
      <c r="J252" s="36">
        <v>40</v>
      </c>
    </row>
    <row r="253" spans="1:10" x14ac:dyDescent="0.15">
      <c r="A253" s="42" t="s">
        <v>188</v>
      </c>
      <c r="B253" s="3">
        <v>212</v>
      </c>
      <c r="C253" s="2" t="s">
        <v>318</v>
      </c>
      <c r="D253" s="6">
        <v>1.6</v>
      </c>
      <c r="E253" s="46">
        <v>0.1</v>
      </c>
      <c r="F253" s="12">
        <v>7</v>
      </c>
      <c r="G253" s="3">
        <v>25</v>
      </c>
      <c r="H253" s="13" t="s">
        <v>283</v>
      </c>
      <c r="J253" s="36">
        <v>42</v>
      </c>
    </row>
    <row r="254" spans="1:10" x14ac:dyDescent="0.15">
      <c r="A254" s="42" t="s">
        <v>188</v>
      </c>
      <c r="B254" s="51">
        <v>212.1</v>
      </c>
      <c r="C254" s="50" t="s">
        <v>318</v>
      </c>
      <c r="D254" s="58">
        <v>2.64</v>
      </c>
      <c r="E254" s="59">
        <v>0.36</v>
      </c>
      <c r="F254" s="60">
        <v>7</v>
      </c>
      <c r="G254" s="51" t="s">
        <v>75</v>
      </c>
      <c r="H254" s="61" t="s">
        <v>112</v>
      </c>
      <c r="I254" s="62" t="s">
        <v>829</v>
      </c>
      <c r="J254" s="36">
        <v>40</v>
      </c>
    </row>
    <row r="255" spans="1:10" x14ac:dyDescent="0.15">
      <c r="A255" s="42" t="s">
        <v>188</v>
      </c>
      <c r="B255" s="3">
        <v>213</v>
      </c>
      <c r="C255" s="2" t="s">
        <v>547</v>
      </c>
      <c r="D255" s="3" t="s">
        <v>342</v>
      </c>
      <c r="E255" s="24"/>
      <c r="F255" s="12">
        <v>7</v>
      </c>
      <c r="G255" s="3" t="s">
        <v>75</v>
      </c>
      <c r="H255" s="13" t="s">
        <v>112</v>
      </c>
      <c r="J255" s="36">
        <v>40</v>
      </c>
    </row>
    <row r="256" spans="1:10" x14ac:dyDescent="0.15">
      <c r="A256" s="42" t="s">
        <v>30</v>
      </c>
      <c r="B256" s="3">
        <v>214</v>
      </c>
      <c r="C256" s="2" t="s">
        <v>113</v>
      </c>
      <c r="D256" s="6">
        <v>1.93</v>
      </c>
      <c r="E256" s="46"/>
      <c r="F256" s="12">
        <v>6.7</v>
      </c>
      <c r="G256" s="3">
        <v>25</v>
      </c>
      <c r="H256" s="13" t="s">
        <v>112</v>
      </c>
      <c r="J256" s="36">
        <v>11</v>
      </c>
    </row>
    <row r="257" spans="1:10" x14ac:dyDescent="0.15">
      <c r="A257" s="42" t="s">
        <v>76</v>
      </c>
      <c r="B257" s="3">
        <v>215</v>
      </c>
      <c r="C257" s="2" t="s">
        <v>478</v>
      </c>
      <c r="D257" s="3" t="s">
        <v>479</v>
      </c>
      <c r="E257" s="24"/>
      <c r="F257" s="12">
        <v>5.6</v>
      </c>
      <c r="G257" s="3">
        <v>23</v>
      </c>
      <c r="H257" s="13" t="s">
        <v>148</v>
      </c>
      <c r="J257" s="36">
        <v>73</v>
      </c>
    </row>
    <row r="258" spans="1:10" x14ac:dyDescent="0.15">
      <c r="A258" s="70" t="s">
        <v>30</v>
      </c>
      <c r="B258" s="16">
        <v>216</v>
      </c>
      <c r="C258" s="15" t="s">
        <v>636</v>
      </c>
      <c r="D258" s="17">
        <v>111</v>
      </c>
      <c r="E258" s="18">
        <v>6</v>
      </c>
      <c r="F258" s="71">
        <v>13</v>
      </c>
      <c r="G258" s="16">
        <v>25</v>
      </c>
      <c r="H258" s="72" t="s">
        <v>47</v>
      </c>
      <c r="I258" s="19"/>
      <c r="J258" s="73">
        <v>2</v>
      </c>
    </row>
  </sheetData>
  <sortState xmlns:xlrd2="http://schemas.microsoft.com/office/spreadsheetml/2017/richdata2" ref="A4:J258">
    <sortCondition ref="B4:B258"/>
  </sortState>
  <mergeCells count="1">
    <mergeCell ref="F2:H2"/>
  </mergeCells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1CC5-B5DB-C14A-9FAD-32862B5DF2A2}">
  <dimension ref="A1:AD46"/>
  <sheetViews>
    <sheetView zoomScale="110" zoomScaleNormal="110" workbookViewId="0">
      <selection activeCell="H10" sqref="H10"/>
    </sheetView>
  </sheetViews>
  <sheetFormatPr baseColWidth="10" defaultColWidth="8.83203125" defaultRowHeight="14" x14ac:dyDescent="0.15"/>
  <cols>
    <col min="1" max="1" width="18.83203125" style="32" bestFit="1" customWidth="1"/>
    <col min="2" max="2" width="6.1640625" style="1" bestFit="1" customWidth="1"/>
    <col min="3" max="3" width="4.33203125" style="1" bestFit="1" customWidth="1"/>
    <col min="4" max="4" width="4" style="1" bestFit="1" customWidth="1"/>
    <col min="5" max="5" width="6.1640625" style="1" bestFit="1" customWidth="1"/>
    <col min="6" max="6" width="3.5" style="3" bestFit="1" customWidth="1"/>
    <col min="7" max="7" width="6.1640625" style="3" bestFit="1" customWidth="1"/>
    <col min="8" max="8" width="9.1640625" style="3" bestFit="1" customWidth="1"/>
    <col min="9" max="9" width="12.5" style="3" bestFit="1" customWidth="1"/>
    <col min="10" max="10" width="5.5" style="3" bestFit="1" customWidth="1"/>
    <col min="11" max="11" width="4.83203125" style="3" bestFit="1" customWidth="1"/>
    <col min="12" max="13" width="5" style="3" bestFit="1" customWidth="1"/>
    <col min="14" max="14" width="6.6640625" style="3" bestFit="1" customWidth="1"/>
    <col min="15" max="15" width="4" style="3" bestFit="1" customWidth="1"/>
    <col min="16" max="16" width="5.5" style="3" bestFit="1" customWidth="1"/>
    <col min="17" max="17" width="8.5" style="3" bestFit="1" customWidth="1"/>
    <col min="18" max="18" width="4.33203125" style="1" bestFit="1" customWidth="1"/>
    <col min="19" max="19" width="29.33203125" style="3" bestFit="1" customWidth="1"/>
    <col min="20" max="20" width="8" style="3" bestFit="1" customWidth="1"/>
    <col min="21" max="21" width="11.33203125" style="1" bestFit="1" customWidth="1"/>
    <col min="22" max="22" width="42.1640625" style="1" bestFit="1" customWidth="1"/>
    <col min="23" max="23" width="9.1640625" style="1" bestFit="1" customWidth="1"/>
    <col min="24" max="24" width="8.83203125" style="1"/>
    <col min="25" max="25" width="9.83203125" style="1" customWidth="1"/>
    <col min="26" max="26" width="12.5" style="1" bestFit="1" customWidth="1"/>
    <col min="27" max="27" width="14.33203125" style="1" bestFit="1" customWidth="1"/>
    <col min="28" max="29" width="8.83203125" style="1"/>
    <col min="30" max="30" width="12.5" style="1" bestFit="1" customWidth="1"/>
    <col min="31" max="31" width="12.33203125" style="1" bestFit="1" customWidth="1"/>
    <col min="32" max="34" width="8.83203125" style="1"/>
    <col min="35" max="35" width="9.1640625" style="1" bestFit="1" customWidth="1"/>
    <col min="36" max="16384" width="8.83203125" style="1"/>
  </cols>
  <sheetData>
    <row r="1" spans="1:30" x14ac:dyDescent="0.15">
      <c r="A1" s="1" t="s">
        <v>909</v>
      </c>
    </row>
    <row r="2" spans="1:30" x14ac:dyDescent="0.15">
      <c r="A2" s="113" t="s">
        <v>902</v>
      </c>
    </row>
    <row r="3" spans="1:30" x14ac:dyDescent="0.15">
      <c r="A3" s="156" t="s">
        <v>907</v>
      </c>
      <c r="B3" s="156"/>
      <c r="C3" s="156"/>
      <c r="D3" s="156"/>
      <c r="E3" s="156"/>
      <c r="F3" s="156"/>
      <c r="G3" s="156"/>
      <c r="H3" s="156"/>
      <c r="I3" s="156"/>
      <c r="J3" s="1"/>
    </row>
    <row r="4" spans="1:30" x14ac:dyDescent="0.15">
      <c r="A4" s="156" t="s">
        <v>908</v>
      </c>
      <c r="B4" s="156"/>
    </row>
    <row r="5" spans="1:30" x14ac:dyDescent="0.15">
      <c r="A5" s="156" t="s">
        <v>905</v>
      </c>
      <c r="B5" s="156"/>
      <c r="C5" s="156"/>
      <c r="D5" s="156"/>
      <c r="E5" s="156"/>
      <c r="F5" s="156"/>
      <c r="G5" s="1"/>
      <c r="H5" s="1"/>
    </row>
    <row r="6" spans="1:30" x14ac:dyDescent="0.15">
      <c r="A6" s="156" t="s">
        <v>906</v>
      </c>
      <c r="B6" s="156"/>
    </row>
    <row r="7" spans="1:30" x14ac:dyDescent="0.15">
      <c r="B7" s="32"/>
    </row>
    <row r="8" spans="1:30" x14ac:dyDescent="0.15">
      <c r="A8" s="21"/>
      <c r="B8" s="121"/>
      <c r="C8" s="114"/>
      <c r="D8" s="114"/>
      <c r="E8" s="114"/>
      <c r="F8" s="114"/>
      <c r="G8" s="114"/>
      <c r="H8" s="157" t="s">
        <v>714</v>
      </c>
      <c r="I8" s="158"/>
      <c r="J8" s="158"/>
      <c r="K8" s="158"/>
      <c r="L8" s="158"/>
      <c r="M8" s="158"/>
      <c r="N8" s="158"/>
      <c r="O8" s="158"/>
      <c r="P8" s="158"/>
      <c r="Q8" s="159"/>
      <c r="R8" s="122"/>
      <c r="S8" s="119"/>
      <c r="T8" s="119"/>
      <c r="U8" s="114"/>
      <c r="V8" s="82"/>
    </row>
    <row r="9" spans="1:30" x14ac:dyDescent="0.15">
      <c r="A9" s="115"/>
      <c r="B9" s="147" t="s">
        <v>904</v>
      </c>
      <c r="C9" s="148"/>
      <c r="D9" s="148"/>
      <c r="E9" s="148"/>
      <c r="F9" s="148"/>
      <c r="G9" s="148"/>
      <c r="H9" s="115"/>
      <c r="I9" s="75"/>
      <c r="J9" s="112"/>
      <c r="K9" s="149" t="s">
        <v>831</v>
      </c>
      <c r="L9" s="149"/>
      <c r="M9" s="148" t="s">
        <v>832</v>
      </c>
      <c r="N9" s="148"/>
      <c r="O9" s="148"/>
      <c r="P9" s="149"/>
      <c r="Q9" s="26"/>
      <c r="R9" s="41"/>
      <c r="S9" s="22"/>
      <c r="T9" s="22"/>
      <c r="U9" s="14"/>
      <c r="V9" s="41"/>
    </row>
    <row r="10" spans="1:30" x14ac:dyDescent="0.15">
      <c r="A10" s="133" t="s">
        <v>887</v>
      </c>
      <c r="B10" s="87" t="s">
        <v>571</v>
      </c>
      <c r="C10" s="116" t="s">
        <v>830</v>
      </c>
      <c r="D10" s="116" t="s">
        <v>572</v>
      </c>
      <c r="E10" s="116" t="s">
        <v>573</v>
      </c>
      <c r="F10" s="116" t="s">
        <v>574</v>
      </c>
      <c r="G10" s="116" t="s">
        <v>903</v>
      </c>
      <c r="H10" s="87" t="s">
        <v>44</v>
      </c>
      <c r="I10" s="116" t="s">
        <v>575</v>
      </c>
      <c r="J10" s="117" t="s">
        <v>570</v>
      </c>
      <c r="K10" s="116" t="s">
        <v>38</v>
      </c>
      <c r="L10" s="117" t="s">
        <v>43</v>
      </c>
      <c r="M10" s="116" t="s">
        <v>32</v>
      </c>
      <c r="N10" s="116" t="s">
        <v>33</v>
      </c>
      <c r="O10" s="116" t="s">
        <v>34</v>
      </c>
      <c r="P10" s="117" t="s">
        <v>31</v>
      </c>
      <c r="Q10" s="117" t="s">
        <v>18</v>
      </c>
      <c r="R10" s="135" t="s">
        <v>90</v>
      </c>
      <c r="S10" s="116" t="s">
        <v>1</v>
      </c>
      <c r="T10" s="88" t="s">
        <v>2</v>
      </c>
      <c r="U10" s="88" t="s">
        <v>843</v>
      </c>
      <c r="V10" s="134" t="s">
        <v>899</v>
      </c>
      <c r="W10" s="14"/>
      <c r="AB10" s="14"/>
    </row>
    <row r="11" spans="1:30" x14ac:dyDescent="0.15">
      <c r="A11" s="86" t="s">
        <v>76</v>
      </c>
      <c r="B11" s="12"/>
      <c r="C11" s="3"/>
      <c r="D11" s="3"/>
      <c r="E11" s="3"/>
      <c r="G11" s="24">
        <v>1</v>
      </c>
      <c r="J11" s="24"/>
      <c r="L11" s="24"/>
      <c r="P11" s="24">
        <v>2</v>
      </c>
      <c r="Q11" s="24" t="s">
        <v>109</v>
      </c>
      <c r="R11" s="44">
        <v>124</v>
      </c>
      <c r="S11" s="1" t="s">
        <v>105</v>
      </c>
      <c r="T11" s="7">
        <v>3.6999999999999998E-2</v>
      </c>
      <c r="U11" s="7">
        <v>2.96E-3</v>
      </c>
      <c r="V11" s="36">
        <v>10</v>
      </c>
      <c r="Y11" s="5"/>
      <c r="AD11" s="5"/>
    </row>
    <row r="12" spans="1:30" x14ac:dyDescent="0.15">
      <c r="A12" s="86" t="s">
        <v>886</v>
      </c>
      <c r="B12" s="12"/>
      <c r="C12" s="3"/>
      <c r="D12" s="3"/>
      <c r="E12" s="3"/>
      <c r="G12" s="24">
        <v>1</v>
      </c>
      <c r="J12" s="24"/>
      <c r="L12" s="24"/>
      <c r="P12" s="24"/>
      <c r="Q12" s="24" t="s">
        <v>139</v>
      </c>
      <c r="R12" s="44">
        <v>206</v>
      </c>
      <c r="S12" s="1" t="s">
        <v>608</v>
      </c>
      <c r="T12" s="7">
        <v>4.0451248097412483E-2</v>
      </c>
      <c r="U12" s="7">
        <v>1.6465451099705243E-2</v>
      </c>
      <c r="V12" s="36" t="s">
        <v>785</v>
      </c>
      <c r="Y12" s="8"/>
      <c r="AD12" s="5"/>
    </row>
    <row r="13" spans="1:30" x14ac:dyDescent="0.15">
      <c r="A13" s="86" t="s">
        <v>885</v>
      </c>
      <c r="B13" s="12"/>
      <c r="C13" s="3"/>
      <c r="D13" s="3"/>
      <c r="E13" s="3"/>
      <c r="F13" s="3">
        <v>1</v>
      </c>
      <c r="G13" s="24"/>
      <c r="J13" s="24">
        <v>1</v>
      </c>
      <c r="K13" s="3">
        <v>2</v>
      </c>
      <c r="L13" s="24"/>
      <c r="M13" s="3">
        <v>2</v>
      </c>
      <c r="P13" s="24"/>
      <c r="Q13" s="24"/>
      <c r="R13" s="44">
        <v>75</v>
      </c>
      <c r="S13" s="1" t="s">
        <v>540</v>
      </c>
      <c r="T13" s="7">
        <v>8.3000000000000004E-2</v>
      </c>
      <c r="U13" s="7"/>
      <c r="V13" s="36">
        <v>11</v>
      </c>
      <c r="Y13" s="6"/>
      <c r="AD13" s="3"/>
    </row>
    <row r="14" spans="1:30" x14ac:dyDescent="0.15">
      <c r="A14" s="86" t="s">
        <v>886</v>
      </c>
      <c r="B14" s="12"/>
      <c r="C14" s="3"/>
      <c r="D14" s="3"/>
      <c r="E14" s="3"/>
      <c r="F14" s="3">
        <v>1</v>
      </c>
      <c r="G14" s="24"/>
      <c r="J14" s="24"/>
      <c r="L14" s="24"/>
      <c r="P14" s="24"/>
      <c r="Q14" s="24" t="s">
        <v>140</v>
      </c>
      <c r="R14" s="44">
        <v>210</v>
      </c>
      <c r="S14" s="1" t="s">
        <v>607</v>
      </c>
      <c r="T14" s="6">
        <v>0.77514951199338289</v>
      </c>
      <c r="U14" s="6">
        <v>9.5593490628428909E-2</v>
      </c>
      <c r="V14" s="36" t="s">
        <v>790</v>
      </c>
      <c r="Y14" s="6"/>
      <c r="AD14" s="7"/>
    </row>
    <row r="15" spans="1:30" x14ac:dyDescent="0.15">
      <c r="A15" s="86" t="s">
        <v>886</v>
      </c>
      <c r="B15" s="12"/>
      <c r="C15" s="3"/>
      <c r="D15" s="3">
        <v>1</v>
      </c>
      <c r="E15" s="3"/>
      <c r="G15" s="24"/>
      <c r="J15" s="24"/>
      <c r="L15" s="24"/>
      <c r="P15" s="24"/>
      <c r="Q15" s="24" t="s">
        <v>108</v>
      </c>
      <c r="R15" s="44">
        <v>116</v>
      </c>
      <c r="S15" s="1" t="s">
        <v>609</v>
      </c>
      <c r="T15" s="6">
        <v>1.0714729729729728</v>
      </c>
      <c r="U15" s="6">
        <v>0.34589645021768073</v>
      </c>
      <c r="V15" s="36" t="s">
        <v>755</v>
      </c>
      <c r="Y15" s="6"/>
      <c r="AD15" s="8"/>
    </row>
    <row r="16" spans="1:30" x14ac:dyDescent="0.15">
      <c r="A16" s="86" t="s">
        <v>76</v>
      </c>
      <c r="B16" s="12"/>
      <c r="C16" s="3"/>
      <c r="D16" s="3">
        <v>1</v>
      </c>
      <c r="E16" s="3"/>
      <c r="G16" s="24"/>
      <c r="J16" s="24"/>
      <c r="K16" s="3">
        <v>2</v>
      </c>
      <c r="L16" s="24"/>
      <c r="M16" s="3">
        <v>2</v>
      </c>
      <c r="P16" s="24"/>
      <c r="Q16" s="24"/>
      <c r="R16" s="44">
        <v>214</v>
      </c>
      <c r="S16" s="1" t="s">
        <v>113</v>
      </c>
      <c r="T16" s="6">
        <v>1.93</v>
      </c>
      <c r="U16" s="6"/>
      <c r="V16" s="36">
        <v>11</v>
      </c>
      <c r="Y16" s="3"/>
      <c r="AD16" s="8"/>
    </row>
    <row r="17" spans="1:30" x14ac:dyDescent="0.15">
      <c r="A17" s="86" t="s">
        <v>886</v>
      </c>
      <c r="B17" s="12"/>
      <c r="C17" s="3">
        <v>1</v>
      </c>
      <c r="D17" s="3"/>
      <c r="E17" s="3"/>
      <c r="G17" s="24"/>
      <c r="J17" s="24"/>
      <c r="L17" s="24"/>
      <c r="P17" s="24"/>
      <c r="Q17" s="24" t="s">
        <v>108</v>
      </c>
      <c r="R17" s="44">
        <v>2</v>
      </c>
      <c r="S17" s="1" t="s">
        <v>610</v>
      </c>
      <c r="T17" s="6">
        <v>2.2400000000000002</v>
      </c>
      <c r="U17" s="6">
        <v>0.23853720883753129</v>
      </c>
      <c r="V17" s="36" t="s">
        <v>717</v>
      </c>
      <c r="Y17" s="5"/>
      <c r="AD17" s="6"/>
    </row>
    <row r="18" spans="1:30" x14ac:dyDescent="0.15">
      <c r="A18" s="86" t="s">
        <v>886</v>
      </c>
      <c r="B18" s="12"/>
      <c r="C18" s="3"/>
      <c r="D18" s="3"/>
      <c r="E18" s="3"/>
      <c r="F18" s="3">
        <v>1</v>
      </c>
      <c r="G18" s="24"/>
      <c r="J18" s="24"/>
      <c r="K18" s="3">
        <v>2</v>
      </c>
      <c r="L18" s="24"/>
      <c r="M18" s="3">
        <v>3</v>
      </c>
      <c r="P18" s="24"/>
      <c r="Q18" s="24"/>
      <c r="R18" s="44">
        <v>67</v>
      </c>
      <c r="S18" s="1" t="s">
        <v>533</v>
      </c>
      <c r="T18" s="6">
        <v>2.59</v>
      </c>
      <c r="U18" s="6"/>
      <c r="V18" s="36">
        <v>11</v>
      </c>
      <c r="Y18" s="5"/>
      <c r="AD18" s="5"/>
    </row>
    <row r="19" spans="1:30" x14ac:dyDescent="0.15">
      <c r="A19" s="86" t="s">
        <v>888</v>
      </c>
      <c r="B19" s="12"/>
      <c r="C19" s="3"/>
      <c r="D19" s="3"/>
      <c r="E19" s="3"/>
      <c r="F19" s="3">
        <v>1</v>
      </c>
      <c r="G19" s="24"/>
      <c r="J19" s="24"/>
      <c r="K19" s="3">
        <v>2</v>
      </c>
      <c r="L19" s="24">
        <v>1</v>
      </c>
      <c r="M19" s="3">
        <v>2</v>
      </c>
      <c r="P19" s="24"/>
      <c r="Q19" s="24"/>
      <c r="R19" s="44">
        <v>73</v>
      </c>
      <c r="S19" s="1" t="s">
        <v>539</v>
      </c>
      <c r="T19" s="6">
        <v>2.62</v>
      </c>
      <c r="U19" s="6"/>
      <c r="V19" s="36">
        <v>11</v>
      </c>
      <c r="Y19" s="5"/>
      <c r="AD19" s="8"/>
    </row>
    <row r="20" spans="1:30" x14ac:dyDescent="0.15">
      <c r="A20" s="86" t="s">
        <v>885</v>
      </c>
      <c r="B20" s="12"/>
      <c r="C20" s="3"/>
      <c r="D20" s="3"/>
      <c r="E20" s="3"/>
      <c r="F20" s="3">
        <v>1</v>
      </c>
      <c r="G20" s="24"/>
      <c r="J20" s="24"/>
      <c r="L20" s="24"/>
      <c r="P20" s="24">
        <v>2</v>
      </c>
      <c r="Q20" s="24" t="s">
        <v>61</v>
      </c>
      <c r="R20" s="44">
        <v>99</v>
      </c>
      <c r="S20" s="1" t="s">
        <v>102</v>
      </c>
      <c r="T20" s="6">
        <v>2.7</v>
      </c>
      <c r="U20" s="6">
        <v>0.21600000000000003</v>
      </c>
      <c r="V20" s="36">
        <v>10</v>
      </c>
      <c r="Y20" s="8"/>
      <c r="AD20" s="7"/>
    </row>
    <row r="21" spans="1:30" x14ac:dyDescent="0.15">
      <c r="A21" s="86" t="s">
        <v>76</v>
      </c>
      <c r="B21" s="12"/>
      <c r="C21" s="3"/>
      <c r="D21" s="3"/>
      <c r="E21" s="3"/>
      <c r="G21" s="24">
        <v>1</v>
      </c>
      <c r="J21" s="24"/>
      <c r="L21" s="24"/>
      <c r="P21" s="24">
        <v>2</v>
      </c>
      <c r="Q21" s="24" t="s">
        <v>108</v>
      </c>
      <c r="R21" s="44">
        <v>125</v>
      </c>
      <c r="S21" s="1" t="s">
        <v>103</v>
      </c>
      <c r="T21" s="6">
        <v>3.7</v>
      </c>
      <c r="U21" s="6">
        <v>0.29600000000000004</v>
      </c>
      <c r="V21" s="36">
        <v>10</v>
      </c>
      <c r="Y21" s="5"/>
      <c r="AD21" s="6"/>
    </row>
    <row r="22" spans="1:30" x14ac:dyDescent="0.15">
      <c r="A22" s="86" t="s">
        <v>885</v>
      </c>
      <c r="B22" s="12"/>
      <c r="C22" s="3"/>
      <c r="D22" s="3"/>
      <c r="E22" s="3"/>
      <c r="F22" s="3">
        <v>1</v>
      </c>
      <c r="G22" s="24"/>
      <c r="J22" s="24"/>
      <c r="L22" s="24"/>
      <c r="P22" s="24">
        <v>2</v>
      </c>
      <c r="Q22" s="24" t="s">
        <v>62</v>
      </c>
      <c r="R22" s="44">
        <v>110</v>
      </c>
      <c r="S22" s="1" t="s">
        <v>104</v>
      </c>
      <c r="T22" s="6">
        <v>4</v>
      </c>
      <c r="U22" s="6">
        <v>0.32</v>
      </c>
      <c r="V22" s="36">
        <v>10</v>
      </c>
      <c r="Y22" s="3"/>
      <c r="AD22" s="8"/>
    </row>
    <row r="23" spans="1:30" x14ac:dyDescent="0.15">
      <c r="A23" s="86" t="s">
        <v>886</v>
      </c>
      <c r="B23" s="12"/>
      <c r="C23" s="3"/>
      <c r="D23" s="3"/>
      <c r="E23" s="3"/>
      <c r="F23" s="3">
        <v>1</v>
      </c>
      <c r="G23" s="24"/>
      <c r="J23" s="24"/>
      <c r="K23" s="3">
        <v>2</v>
      </c>
      <c r="L23" s="24"/>
      <c r="M23" s="3">
        <v>2</v>
      </c>
      <c r="P23" s="24"/>
      <c r="Q23" s="24" t="s">
        <v>62</v>
      </c>
      <c r="R23" s="44">
        <v>69</v>
      </c>
      <c r="S23" s="1" t="s">
        <v>535</v>
      </c>
      <c r="T23" s="8">
        <v>11</v>
      </c>
      <c r="U23" s="8"/>
      <c r="V23" s="36">
        <v>11</v>
      </c>
      <c r="Y23" s="7"/>
      <c r="AD23" s="5"/>
    </row>
    <row r="24" spans="1:30" x14ac:dyDescent="0.15">
      <c r="A24" s="86" t="s">
        <v>886</v>
      </c>
      <c r="B24" s="12"/>
      <c r="C24" s="3"/>
      <c r="D24" s="3"/>
      <c r="E24" s="3"/>
      <c r="F24" s="3">
        <v>1</v>
      </c>
      <c r="G24" s="24"/>
      <c r="J24" s="24"/>
      <c r="K24" s="3">
        <v>2</v>
      </c>
      <c r="L24" s="24"/>
      <c r="M24" s="3">
        <v>2</v>
      </c>
      <c r="P24" s="24"/>
      <c r="Q24" s="24" t="s">
        <v>61</v>
      </c>
      <c r="R24" s="44">
        <v>68</v>
      </c>
      <c r="S24" s="1" t="s">
        <v>534</v>
      </c>
      <c r="T24" s="8">
        <v>13.7</v>
      </c>
      <c r="U24" s="8"/>
      <c r="V24" s="36">
        <v>11</v>
      </c>
      <c r="Y24" s="8"/>
      <c r="AD24" s="6"/>
    </row>
    <row r="25" spans="1:30" x14ac:dyDescent="0.15">
      <c r="A25" s="86" t="s">
        <v>885</v>
      </c>
      <c r="B25" s="12"/>
      <c r="C25" s="3"/>
      <c r="D25" s="3"/>
      <c r="E25" s="3"/>
      <c r="F25" s="3">
        <v>1</v>
      </c>
      <c r="G25" s="24"/>
      <c r="J25" s="24">
        <v>1</v>
      </c>
      <c r="K25" s="3">
        <v>2</v>
      </c>
      <c r="L25" s="24"/>
      <c r="M25" s="3">
        <v>2</v>
      </c>
      <c r="P25" s="24"/>
      <c r="Q25" s="24"/>
      <c r="R25" s="44">
        <v>72</v>
      </c>
      <c r="S25" s="1" t="s">
        <v>538</v>
      </c>
      <c r="T25" s="8">
        <v>16.100000000000001</v>
      </c>
      <c r="U25" s="8"/>
      <c r="V25" s="36">
        <v>11</v>
      </c>
      <c r="Y25" s="8"/>
      <c r="AD25" s="6"/>
    </row>
    <row r="26" spans="1:30" x14ac:dyDescent="0.15">
      <c r="A26" s="86" t="s">
        <v>886</v>
      </c>
      <c r="B26" s="12"/>
      <c r="C26" s="3"/>
      <c r="D26" s="3"/>
      <c r="E26" s="3"/>
      <c r="F26" s="3">
        <v>1</v>
      </c>
      <c r="G26" s="24"/>
      <c r="J26" s="24"/>
      <c r="K26" s="3">
        <v>2</v>
      </c>
      <c r="L26" s="24"/>
      <c r="M26" s="3">
        <v>2</v>
      </c>
      <c r="P26" s="24"/>
      <c r="Q26" s="24" t="s">
        <v>115</v>
      </c>
      <c r="R26" s="44">
        <v>71</v>
      </c>
      <c r="S26" s="1" t="s">
        <v>537</v>
      </c>
      <c r="T26" s="8">
        <v>16.100000000000001</v>
      </c>
      <c r="U26" s="8"/>
      <c r="V26" s="36">
        <v>11</v>
      </c>
      <c r="Y26" s="6"/>
      <c r="AD26" s="3"/>
    </row>
    <row r="27" spans="1:30" x14ac:dyDescent="0.15">
      <c r="A27" s="86" t="s">
        <v>886</v>
      </c>
      <c r="B27" s="12"/>
      <c r="C27" s="3"/>
      <c r="D27" s="3"/>
      <c r="E27" s="3">
        <v>1</v>
      </c>
      <c r="G27" s="24"/>
      <c r="J27" s="24"/>
      <c r="L27" s="24"/>
      <c r="P27" s="24"/>
      <c r="Q27" s="24" t="s">
        <v>108</v>
      </c>
      <c r="R27" s="44">
        <v>209</v>
      </c>
      <c r="S27" s="1" t="s">
        <v>611</v>
      </c>
      <c r="T27" s="8">
        <v>39.199999999999996</v>
      </c>
      <c r="U27" s="8">
        <v>9.301612763386812</v>
      </c>
      <c r="V27" s="36" t="s">
        <v>789</v>
      </c>
      <c r="Y27" s="6"/>
      <c r="AD27" s="8"/>
    </row>
    <row r="28" spans="1:30" x14ac:dyDescent="0.15">
      <c r="A28" s="86" t="s">
        <v>885</v>
      </c>
      <c r="B28" s="12"/>
      <c r="C28" s="3"/>
      <c r="D28" s="3"/>
      <c r="E28" s="3"/>
      <c r="G28" s="24">
        <v>1</v>
      </c>
      <c r="J28" s="24">
        <v>2</v>
      </c>
      <c r="L28" s="24"/>
      <c r="P28" s="24">
        <v>2</v>
      </c>
      <c r="Q28" s="24"/>
      <c r="R28" s="44">
        <v>130</v>
      </c>
      <c r="S28" s="1" t="s">
        <v>542</v>
      </c>
      <c r="T28" s="8">
        <v>54</v>
      </c>
      <c r="U28" s="8">
        <v>4.32</v>
      </c>
      <c r="V28" s="36">
        <v>7</v>
      </c>
      <c r="Y28" s="6"/>
      <c r="AD28" s="6"/>
    </row>
    <row r="29" spans="1:30" x14ac:dyDescent="0.15">
      <c r="A29" s="86" t="s">
        <v>886</v>
      </c>
      <c r="B29" s="12"/>
      <c r="C29" s="3"/>
      <c r="D29" s="3"/>
      <c r="E29" s="3"/>
      <c r="F29" s="3">
        <v>1</v>
      </c>
      <c r="G29" s="24"/>
      <c r="J29" s="24"/>
      <c r="K29" s="3">
        <v>2</v>
      </c>
      <c r="L29" s="24"/>
      <c r="M29" s="3">
        <v>2</v>
      </c>
      <c r="P29" s="24"/>
      <c r="Q29" s="24" t="s">
        <v>114</v>
      </c>
      <c r="R29" s="44">
        <v>70</v>
      </c>
      <c r="S29" s="1" t="s">
        <v>536</v>
      </c>
      <c r="T29" s="8">
        <v>70.599999999999994</v>
      </c>
      <c r="U29" s="8"/>
      <c r="V29" s="36">
        <v>11</v>
      </c>
      <c r="Y29" s="6"/>
      <c r="AD29" s="6"/>
    </row>
    <row r="30" spans="1:30" x14ac:dyDescent="0.15">
      <c r="A30" s="86" t="s">
        <v>76</v>
      </c>
      <c r="B30" s="12"/>
      <c r="C30" s="3">
        <v>1</v>
      </c>
      <c r="D30" s="3"/>
      <c r="E30" s="3"/>
      <c r="G30" s="24"/>
      <c r="J30" s="24">
        <v>1</v>
      </c>
      <c r="L30" s="24"/>
      <c r="P30" s="24"/>
      <c r="Q30" s="24" t="s">
        <v>108</v>
      </c>
      <c r="R30" s="44">
        <v>22</v>
      </c>
      <c r="S30" s="1" t="s">
        <v>247</v>
      </c>
      <c r="T30" s="8">
        <v>77</v>
      </c>
      <c r="U30" s="8">
        <v>5</v>
      </c>
      <c r="V30" s="36">
        <v>31</v>
      </c>
      <c r="Y30" s="6"/>
      <c r="AD30" s="6"/>
    </row>
    <row r="31" spans="1:30" x14ac:dyDescent="0.15">
      <c r="A31" s="86" t="s">
        <v>889</v>
      </c>
      <c r="B31" s="12"/>
      <c r="C31" s="3"/>
      <c r="D31" s="3"/>
      <c r="E31" s="3"/>
      <c r="F31" s="3">
        <v>1</v>
      </c>
      <c r="G31" s="24"/>
      <c r="J31" s="24">
        <v>1</v>
      </c>
      <c r="L31" s="24"/>
      <c r="P31" s="24">
        <v>2</v>
      </c>
      <c r="Q31" s="24"/>
      <c r="R31" s="44">
        <v>162</v>
      </c>
      <c r="S31" s="1" t="s">
        <v>545</v>
      </c>
      <c r="T31" s="8">
        <v>98</v>
      </c>
      <c r="U31" s="8">
        <v>7.84</v>
      </c>
      <c r="V31" s="36">
        <v>7</v>
      </c>
      <c r="Y31" s="8"/>
      <c r="AD31" s="8"/>
    </row>
    <row r="32" spans="1:30" x14ac:dyDescent="0.15">
      <c r="A32" s="86" t="s">
        <v>889</v>
      </c>
      <c r="B32" s="12">
        <v>1</v>
      </c>
      <c r="C32" s="3"/>
      <c r="D32" s="3"/>
      <c r="E32" s="3"/>
      <c r="G32" s="24"/>
      <c r="J32" s="24"/>
      <c r="L32" s="24"/>
      <c r="O32" s="3">
        <v>1</v>
      </c>
      <c r="P32" s="24"/>
      <c r="Q32" s="24"/>
      <c r="R32" s="44">
        <v>84</v>
      </c>
      <c r="S32" s="1" t="s">
        <v>541</v>
      </c>
      <c r="T32" s="5">
        <v>140</v>
      </c>
      <c r="U32" s="5">
        <v>7</v>
      </c>
      <c r="V32" s="36">
        <v>2</v>
      </c>
      <c r="Y32" s="8"/>
      <c r="AD32" s="8"/>
    </row>
    <row r="33" spans="1:30" x14ac:dyDescent="0.15">
      <c r="A33" s="86" t="s">
        <v>889</v>
      </c>
      <c r="B33" s="12"/>
      <c r="C33" s="3"/>
      <c r="D33" s="3"/>
      <c r="E33" s="3">
        <v>1</v>
      </c>
      <c r="G33" s="24"/>
      <c r="J33" s="24">
        <v>1</v>
      </c>
      <c r="L33" s="24"/>
      <c r="P33" s="24">
        <v>1</v>
      </c>
      <c r="Q33" s="24"/>
      <c r="R33" s="44">
        <v>119</v>
      </c>
      <c r="S33" s="1" t="s">
        <v>635</v>
      </c>
      <c r="T33" s="5">
        <v>232</v>
      </c>
      <c r="U33" s="5">
        <v>11</v>
      </c>
      <c r="V33" s="36">
        <v>2</v>
      </c>
      <c r="Y33" s="8"/>
      <c r="AD33" s="8"/>
    </row>
    <row r="34" spans="1:30" x14ac:dyDescent="0.15">
      <c r="A34" s="86" t="s">
        <v>889</v>
      </c>
      <c r="B34" s="12"/>
      <c r="C34" s="3"/>
      <c r="D34" s="3"/>
      <c r="E34" s="3">
        <v>1</v>
      </c>
      <c r="G34" s="24"/>
      <c r="H34" s="3">
        <v>1</v>
      </c>
      <c r="I34" s="3">
        <v>1</v>
      </c>
      <c r="J34" s="24"/>
      <c r="L34" s="24"/>
      <c r="N34" s="3">
        <v>1</v>
      </c>
      <c r="P34" s="24">
        <v>1</v>
      </c>
      <c r="Q34" s="24"/>
      <c r="R34" s="44">
        <v>57</v>
      </c>
      <c r="S34" s="1" t="s">
        <v>643</v>
      </c>
      <c r="T34" s="5">
        <v>272</v>
      </c>
      <c r="U34" s="5">
        <v>14</v>
      </c>
      <c r="V34" s="36">
        <v>2</v>
      </c>
      <c r="Y34" s="8"/>
      <c r="AD34" s="8"/>
    </row>
    <row r="35" spans="1:30" x14ac:dyDescent="0.15">
      <c r="A35" s="86" t="s">
        <v>885</v>
      </c>
      <c r="B35" s="12"/>
      <c r="C35" s="3"/>
      <c r="D35" s="3"/>
      <c r="E35" s="3"/>
      <c r="F35" s="3">
        <v>1</v>
      </c>
      <c r="G35" s="24"/>
      <c r="J35" s="24">
        <v>1</v>
      </c>
      <c r="L35" s="24"/>
      <c r="P35" s="24">
        <v>2</v>
      </c>
      <c r="Q35" s="24"/>
      <c r="R35" s="44">
        <v>163</v>
      </c>
      <c r="S35" s="1" t="s">
        <v>546</v>
      </c>
      <c r="T35" s="5">
        <v>310</v>
      </c>
      <c r="U35" s="5">
        <v>24.8</v>
      </c>
      <c r="V35" s="36">
        <v>7</v>
      </c>
      <c r="Y35" s="5"/>
      <c r="AD35" s="7"/>
    </row>
    <row r="36" spans="1:30" x14ac:dyDescent="0.15">
      <c r="A36" s="86" t="s">
        <v>889</v>
      </c>
      <c r="B36" s="12"/>
      <c r="C36" s="3"/>
      <c r="D36" s="3"/>
      <c r="E36" s="3">
        <v>2</v>
      </c>
      <c r="G36" s="24"/>
      <c r="J36" s="24">
        <v>1</v>
      </c>
      <c r="L36" s="24"/>
      <c r="P36" s="24">
        <v>1</v>
      </c>
      <c r="Q36" s="24"/>
      <c r="R36" s="44">
        <v>199</v>
      </c>
      <c r="S36" s="1" t="s">
        <v>890</v>
      </c>
      <c r="T36" s="5">
        <v>455.8</v>
      </c>
      <c r="U36" s="5">
        <v>4.3</v>
      </c>
      <c r="V36" s="36">
        <v>32</v>
      </c>
      <c r="Y36" s="8"/>
      <c r="AD36" s="8"/>
    </row>
    <row r="37" spans="1:30" x14ac:dyDescent="0.15">
      <c r="A37" s="86" t="s">
        <v>889</v>
      </c>
      <c r="B37" s="12"/>
      <c r="C37" s="3"/>
      <c r="D37" s="3"/>
      <c r="E37" s="3">
        <v>1</v>
      </c>
      <c r="G37" s="24"/>
      <c r="H37" s="3">
        <v>1</v>
      </c>
      <c r="I37" s="3">
        <v>1</v>
      </c>
      <c r="J37" s="24"/>
      <c r="L37" s="24"/>
      <c r="P37" s="24">
        <v>1</v>
      </c>
      <c r="Q37" s="24"/>
      <c r="R37" s="44">
        <v>114</v>
      </c>
      <c r="S37" s="1" t="s">
        <v>641</v>
      </c>
      <c r="T37" s="5">
        <v>490</v>
      </c>
      <c r="U37" s="5">
        <v>25</v>
      </c>
      <c r="V37" s="36">
        <v>2</v>
      </c>
      <c r="Y37" s="7"/>
      <c r="AD37" s="3"/>
    </row>
    <row r="38" spans="1:30" x14ac:dyDescent="0.15">
      <c r="A38" s="86" t="s">
        <v>889</v>
      </c>
      <c r="B38" s="12"/>
      <c r="C38" s="3"/>
      <c r="D38" s="3">
        <v>1</v>
      </c>
      <c r="E38" s="3"/>
      <c r="G38" s="24"/>
      <c r="J38" s="24"/>
      <c r="L38" s="24"/>
      <c r="P38" s="24">
        <v>2</v>
      </c>
      <c r="Q38" s="24"/>
      <c r="R38" s="44">
        <v>157</v>
      </c>
      <c r="S38" s="1" t="s">
        <v>544</v>
      </c>
      <c r="T38" s="3">
        <v>1000</v>
      </c>
      <c r="U38" s="3">
        <v>60</v>
      </c>
      <c r="V38" s="36">
        <v>5</v>
      </c>
      <c r="Y38" s="7"/>
      <c r="AD38" s="5"/>
    </row>
    <row r="39" spans="1:30" x14ac:dyDescent="0.15">
      <c r="A39" s="94" t="s">
        <v>889</v>
      </c>
      <c r="B39" s="71"/>
      <c r="C39" s="16"/>
      <c r="D39" s="16"/>
      <c r="E39" s="16">
        <v>1</v>
      </c>
      <c r="F39" s="16"/>
      <c r="G39" s="76"/>
      <c r="H39" s="16"/>
      <c r="I39" s="16"/>
      <c r="J39" s="76"/>
      <c r="K39" s="16"/>
      <c r="L39" s="76"/>
      <c r="M39" s="16"/>
      <c r="N39" s="16"/>
      <c r="O39" s="16"/>
      <c r="P39" s="76">
        <v>2</v>
      </c>
      <c r="Q39" s="76"/>
      <c r="R39" s="77">
        <v>141</v>
      </c>
      <c r="S39" s="19" t="s">
        <v>543</v>
      </c>
      <c r="T39" s="16">
        <v>1180</v>
      </c>
      <c r="U39" s="17">
        <v>70.8</v>
      </c>
      <c r="V39" s="73">
        <v>5</v>
      </c>
      <c r="Y39" s="6"/>
      <c r="AD39" s="5"/>
    </row>
    <row r="42" spans="1:30" x14ac:dyDescent="0.15">
      <c r="F42" s="1"/>
    </row>
    <row r="43" spans="1:30" x14ac:dyDescent="0.15">
      <c r="F43" s="1"/>
    </row>
    <row r="44" spans="1:30" x14ac:dyDescent="0.15">
      <c r="F44" s="1"/>
    </row>
    <row r="45" spans="1:30" x14ac:dyDescent="0.15">
      <c r="F45" s="1"/>
    </row>
    <row r="46" spans="1:30" x14ac:dyDescent="0.15">
      <c r="F46" s="1"/>
    </row>
  </sheetData>
  <sortState xmlns:xlrd2="http://schemas.microsoft.com/office/spreadsheetml/2017/richdata2" ref="A11:V39">
    <sortCondition ref="T11:T39"/>
  </sortState>
  <mergeCells count="8">
    <mergeCell ref="A5:F5"/>
    <mergeCell ref="A4:B4"/>
    <mergeCell ref="A3:I3"/>
    <mergeCell ref="M9:P9"/>
    <mergeCell ref="K9:L9"/>
    <mergeCell ref="H8:Q8"/>
    <mergeCell ref="B9:G9"/>
    <mergeCell ref="A6:B6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B8C3-D949-024F-8367-AA5FBF23B552}">
  <dimension ref="A1:M44"/>
  <sheetViews>
    <sheetView zoomScale="110" zoomScaleNormal="110" workbookViewId="0">
      <selection activeCell="H9" sqref="H9"/>
    </sheetView>
  </sheetViews>
  <sheetFormatPr baseColWidth="10" defaultColWidth="8.83203125" defaultRowHeight="14" x14ac:dyDescent="0.15"/>
  <cols>
    <col min="1" max="1" width="27.83203125" style="1" bestFit="1" customWidth="1"/>
    <col min="2" max="2" width="18.83203125" style="1" bestFit="1" customWidth="1"/>
    <col min="3" max="3" width="12.5" style="3" bestFit="1" customWidth="1"/>
    <col min="4" max="4" width="4.83203125" style="3" bestFit="1" customWidth="1"/>
    <col min="5" max="5" width="5" style="3" bestFit="1" customWidth="1"/>
    <col min="6" max="6" width="4" style="3" bestFit="1" customWidth="1"/>
    <col min="7" max="7" width="5.5" style="3" bestFit="1" customWidth="1"/>
    <col min="8" max="8" width="8.5" style="3" bestFit="1" customWidth="1"/>
    <col min="9" max="9" width="6.1640625" style="3" bestFit="1" customWidth="1"/>
    <col min="10" max="10" width="38.1640625" style="1" bestFit="1" customWidth="1"/>
    <col min="11" max="11" width="10" style="3" customWidth="1"/>
    <col min="12" max="12" width="11.33203125" style="3" bestFit="1" customWidth="1"/>
    <col min="13" max="13" width="17" style="5" customWidth="1"/>
    <col min="14" max="14" width="9.1640625" style="1" bestFit="1" customWidth="1"/>
    <col min="15" max="15" width="8.83203125" style="1"/>
    <col min="16" max="16" width="9.83203125" style="1" customWidth="1"/>
    <col min="17" max="17" width="12.5" style="1" bestFit="1" customWidth="1"/>
    <col min="18" max="18" width="14.33203125" style="1" bestFit="1" customWidth="1"/>
    <col min="19" max="20" width="8.83203125" style="1"/>
    <col min="21" max="21" width="12.5" style="1" bestFit="1" customWidth="1"/>
    <col min="22" max="22" width="12.33203125" style="1" bestFit="1" customWidth="1"/>
    <col min="23" max="25" width="8.83203125" style="1"/>
    <col min="26" max="26" width="9.1640625" style="1" bestFit="1" customWidth="1"/>
    <col min="27" max="16384" width="8.83203125" style="1"/>
  </cols>
  <sheetData>
    <row r="1" spans="1:13" x14ac:dyDescent="0.15">
      <c r="A1" s="1" t="s">
        <v>912</v>
      </c>
    </row>
    <row r="2" spans="1:13" x14ac:dyDescent="0.15">
      <c r="A2" s="113" t="s">
        <v>887</v>
      </c>
    </row>
    <row r="3" spans="1:13" x14ac:dyDescent="0.15">
      <c r="A3" s="123" t="s">
        <v>838</v>
      </c>
    </row>
    <row r="4" spans="1:13" x14ac:dyDescent="0.15">
      <c r="A4" s="123" t="s">
        <v>837</v>
      </c>
    </row>
    <row r="5" spans="1:13" x14ac:dyDescent="0.15">
      <c r="A5" s="123" t="s">
        <v>836</v>
      </c>
    </row>
    <row r="6" spans="1:13" x14ac:dyDescent="0.15">
      <c r="A6" s="123" t="s">
        <v>835</v>
      </c>
    </row>
    <row r="7" spans="1:13" x14ac:dyDescent="0.15">
      <c r="A7" s="14"/>
      <c r="B7" s="14"/>
      <c r="C7" s="154"/>
      <c r="D7" s="154"/>
      <c r="E7" s="154"/>
      <c r="F7" s="154"/>
      <c r="G7" s="154"/>
      <c r="H7" s="154"/>
      <c r="I7" s="22"/>
      <c r="J7" s="14"/>
      <c r="K7" s="22"/>
      <c r="L7" s="22"/>
      <c r="M7" s="25"/>
    </row>
    <row r="8" spans="1:13" ht="28" customHeight="1" x14ac:dyDescent="0.15">
      <c r="A8" s="118"/>
      <c r="B8" s="118"/>
      <c r="C8" s="124"/>
      <c r="D8" s="160" t="s">
        <v>831</v>
      </c>
      <c r="E8" s="161"/>
      <c r="F8" s="160" t="s">
        <v>832</v>
      </c>
      <c r="G8" s="161"/>
      <c r="H8" s="120"/>
      <c r="I8" s="120"/>
      <c r="J8" s="119"/>
      <c r="K8" s="119"/>
      <c r="L8" s="119"/>
      <c r="M8" s="120" t="s">
        <v>792</v>
      </c>
    </row>
    <row r="9" spans="1:13" x14ac:dyDescent="0.15">
      <c r="A9" s="133" t="s">
        <v>911</v>
      </c>
      <c r="B9" s="133" t="s">
        <v>887</v>
      </c>
      <c r="C9" s="89" t="s">
        <v>575</v>
      </c>
      <c r="D9" s="88" t="s">
        <v>37</v>
      </c>
      <c r="E9" s="89" t="s">
        <v>43</v>
      </c>
      <c r="F9" s="88" t="s">
        <v>34</v>
      </c>
      <c r="G9" s="89" t="s">
        <v>31</v>
      </c>
      <c r="H9" s="89" t="s">
        <v>18</v>
      </c>
      <c r="I9" s="135" t="s">
        <v>90</v>
      </c>
      <c r="J9" s="88" t="s">
        <v>1</v>
      </c>
      <c r="K9" s="88" t="s">
        <v>2</v>
      </c>
      <c r="L9" s="88" t="s">
        <v>843</v>
      </c>
      <c r="M9" s="134" t="s">
        <v>899</v>
      </c>
    </row>
    <row r="10" spans="1:13" x14ac:dyDescent="0.15">
      <c r="A10" s="2"/>
      <c r="B10" s="2" t="s">
        <v>888</v>
      </c>
      <c r="C10" s="12"/>
      <c r="D10" s="12"/>
      <c r="E10" s="24">
        <v>3</v>
      </c>
      <c r="F10" s="12"/>
      <c r="G10" s="24"/>
      <c r="H10" s="24"/>
      <c r="I10" s="24">
        <v>28</v>
      </c>
      <c r="J10" s="1" t="s">
        <v>519</v>
      </c>
      <c r="K10" s="4">
        <v>5.6300000000000002E-4</v>
      </c>
      <c r="L10" s="4"/>
      <c r="M10" s="9">
        <v>31</v>
      </c>
    </row>
    <row r="11" spans="1:13" x14ac:dyDescent="0.15">
      <c r="A11" s="2"/>
      <c r="B11" s="2" t="s">
        <v>888</v>
      </c>
      <c r="C11" s="12"/>
      <c r="D11" s="12"/>
      <c r="E11" s="24">
        <v>2</v>
      </c>
      <c r="F11" s="12"/>
      <c r="G11" s="24"/>
      <c r="H11" s="24"/>
      <c r="I11" s="24">
        <v>25</v>
      </c>
      <c r="J11" s="1" t="s">
        <v>240</v>
      </c>
      <c r="K11" s="7">
        <v>6.0149999999999995E-2</v>
      </c>
      <c r="L11" s="7">
        <v>5.8689862838483412E-3</v>
      </c>
      <c r="M11" s="9">
        <v>31</v>
      </c>
    </row>
    <row r="12" spans="1:13" x14ac:dyDescent="0.15">
      <c r="A12" s="2"/>
      <c r="B12" s="2" t="s">
        <v>888</v>
      </c>
      <c r="C12" s="12"/>
      <c r="D12" s="12"/>
      <c r="E12" s="24">
        <v>1</v>
      </c>
      <c r="F12" s="12"/>
      <c r="G12" s="24"/>
      <c r="H12" s="24"/>
      <c r="I12" s="24">
        <v>64</v>
      </c>
      <c r="J12" s="1" t="s">
        <v>531</v>
      </c>
      <c r="K12" s="7">
        <v>9.7900000000000001E-2</v>
      </c>
      <c r="L12" s="3">
        <v>0.03</v>
      </c>
      <c r="M12" s="9" t="s">
        <v>744</v>
      </c>
    </row>
    <row r="13" spans="1:13" x14ac:dyDescent="0.15">
      <c r="A13" s="2"/>
      <c r="B13" s="2" t="s">
        <v>888</v>
      </c>
      <c r="C13" s="12"/>
      <c r="D13" s="12"/>
      <c r="E13" s="24">
        <v>1</v>
      </c>
      <c r="F13" s="12"/>
      <c r="G13" s="24"/>
      <c r="H13" s="24"/>
      <c r="I13" s="24">
        <v>19</v>
      </c>
      <c r="J13" s="1" t="s">
        <v>525</v>
      </c>
      <c r="K13" s="6">
        <v>0.27400000000000002</v>
      </c>
      <c r="L13" s="6">
        <v>4.3840620433565396E-2</v>
      </c>
      <c r="M13" s="9" t="s">
        <v>726</v>
      </c>
    </row>
    <row r="14" spans="1:13" x14ac:dyDescent="0.15">
      <c r="A14" s="2"/>
      <c r="B14" s="2" t="s">
        <v>886</v>
      </c>
      <c r="C14" s="12"/>
      <c r="D14" s="12"/>
      <c r="E14" s="24"/>
      <c r="F14" s="12"/>
      <c r="G14" s="24">
        <v>1</v>
      </c>
      <c r="H14" s="24"/>
      <c r="I14" s="24">
        <v>56</v>
      </c>
      <c r="J14" s="1" t="s">
        <v>451</v>
      </c>
      <c r="K14" s="6">
        <v>0.48</v>
      </c>
      <c r="L14" s="6">
        <v>3.2000000000000001E-2</v>
      </c>
      <c r="M14" s="9">
        <v>67</v>
      </c>
    </row>
    <row r="15" spans="1:13" x14ac:dyDescent="0.15">
      <c r="A15" s="2"/>
      <c r="B15" s="2" t="s">
        <v>888</v>
      </c>
      <c r="C15" s="12"/>
      <c r="D15" s="12"/>
      <c r="E15" s="24">
        <v>1</v>
      </c>
      <c r="F15" s="12"/>
      <c r="G15" s="24"/>
      <c r="H15" s="24"/>
      <c r="I15" s="24">
        <v>45</v>
      </c>
      <c r="J15" s="1" t="s">
        <v>528</v>
      </c>
      <c r="K15" s="6">
        <v>0.86960000000000004</v>
      </c>
      <c r="L15" s="6"/>
      <c r="M15" s="9">
        <v>8</v>
      </c>
    </row>
    <row r="16" spans="1:13" x14ac:dyDescent="0.15">
      <c r="A16" s="2"/>
      <c r="B16" s="2" t="s">
        <v>886</v>
      </c>
      <c r="C16" s="12"/>
      <c r="D16" s="12"/>
      <c r="E16" s="24"/>
      <c r="F16" s="12"/>
      <c r="G16" s="24"/>
      <c r="H16" s="24" t="s">
        <v>108</v>
      </c>
      <c r="I16" s="24">
        <v>48</v>
      </c>
      <c r="J16" s="1" t="s">
        <v>367</v>
      </c>
      <c r="K16" s="6">
        <v>1.93</v>
      </c>
      <c r="L16" s="6"/>
      <c r="M16" s="9">
        <v>47</v>
      </c>
    </row>
    <row r="17" spans="1:13" x14ac:dyDescent="0.15">
      <c r="A17" s="2"/>
      <c r="B17" s="2" t="s">
        <v>886</v>
      </c>
      <c r="C17" s="12"/>
      <c r="D17" s="12"/>
      <c r="E17" s="24"/>
      <c r="F17" s="12"/>
      <c r="G17" s="24"/>
      <c r="H17" s="24" t="s">
        <v>62</v>
      </c>
      <c r="I17" s="24">
        <v>38</v>
      </c>
      <c r="J17" s="1" t="s">
        <v>252</v>
      </c>
      <c r="K17" s="6">
        <v>2.13</v>
      </c>
      <c r="L17" s="6"/>
      <c r="M17" s="9">
        <v>47</v>
      </c>
    </row>
    <row r="18" spans="1:13" x14ac:dyDescent="0.15">
      <c r="A18" s="2"/>
      <c r="B18" s="2" t="s">
        <v>886</v>
      </c>
      <c r="C18" s="12"/>
      <c r="D18" s="12"/>
      <c r="E18" s="24"/>
      <c r="F18" s="12"/>
      <c r="G18" s="24"/>
      <c r="H18" s="24" t="s">
        <v>61</v>
      </c>
      <c r="I18" s="24">
        <v>35</v>
      </c>
      <c r="J18" s="1" t="s">
        <v>397</v>
      </c>
      <c r="K18" s="6">
        <v>2.2000000000000002</v>
      </c>
      <c r="L18" s="6">
        <v>1.1313708498984749</v>
      </c>
      <c r="M18" s="9" t="s">
        <v>719</v>
      </c>
    </row>
    <row r="19" spans="1:13" x14ac:dyDescent="0.15">
      <c r="A19" s="2" t="s">
        <v>575</v>
      </c>
      <c r="B19" s="2" t="s">
        <v>885</v>
      </c>
      <c r="C19" s="12">
        <v>1</v>
      </c>
      <c r="D19" s="12"/>
      <c r="E19" s="24"/>
      <c r="F19" s="12">
        <v>1</v>
      </c>
      <c r="G19" s="24"/>
      <c r="H19" s="24"/>
      <c r="I19" s="24">
        <v>39</v>
      </c>
      <c r="J19" s="1" t="s">
        <v>558</v>
      </c>
      <c r="K19" s="3">
        <v>2.67</v>
      </c>
      <c r="L19" s="3">
        <v>0.43</v>
      </c>
      <c r="M19" s="9">
        <v>83</v>
      </c>
    </row>
    <row r="20" spans="1:13" x14ac:dyDescent="0.15">
      <c r="A20" s="10"/>
      <c r="B20" s="2" t="s">
        <v>910</v>
      </c>
      <c r="C20" s="12"/>
      <c r="D20" s="12"/>
      <c r="E20" s="24"/>
      <c r="F20" s="12"/>
      <c r="G20" s="24"/>
      <c r="H20" s="24"/>
      <c r="I20" s="24">
        <v>184</v>
      </c>
      <c r="J20" s="1" t="s">
        <v>15</v>
      </c>
      <c r="K20" s="6">
        <v>5.4620000000000006</v>
      </c>
      <c r="L20" s="6">
        <v>0.97356047577949312</v>
      </c>
      <c r="M20" s="9" t="s">
        <v>784</v>
      </c>
    </row>
    <row r="21" spans="1:13" x14ac:dyDescent="0.15">
      <c r="A21" s="2"/>
      <c r="B21" s="2" t="s">
        <v>886</v>
      </c>
      <c r="C21" s="12"/>
      <c r="D21" s="12"/>
      <c r="E21" s="24"/>
      <c r="F21" s="12"/>
      <c r="G21" s="24"/>
      <c r="H21" s="24" t="s">
        <v>61</v>
      </c>
      <c r="I21" s="24">
        <v>51</v>
      </c>
      <c r="J21" s="1" t="s">
        <v>398</v>
      </c>
      <c r="K21" s="6">
        <v>6.75</v>
      </c>
      <c r="L21" s="6">
        <v>4.0112342240263157</v>
      </c>
      <c r="M21" s="9" t="s">
        <v>719</v>
      </c>
    </row>
    <row r="22" spans="1:13" x14ac:dyDescent="0.15">
      <c r="A22" s="2"/>
      <c r="B22" s="2" t="s">
        <v>886</v>
      </c>
      <c r="C22" s="12"/>
      <c r="D22" s="12"/>
      <c r="E22" s="24"/>
      <c r="F22" s="12"/>
      <c r="G22" s="24"/>
      <c r="H22" s="24" t="s">
        <v>62</v>
      </c>
      <c r="I22" s="24">
        <v>54</v>
      </c>
      <c r="J22" s="1" t="s">
        <v>179</v>
      </c>
      <c r="K22" s="6">
        <v>8.4</v>
      </c>
      <c r="L22" s="6"/>
      <c r="M22" s="9">
        <v>47</v>
      </c>
    </row>
    <row r="23" spans="1:13" x14ac:dyDescent="0.15">
      <c r="A23" s="2" t="s">
        <v>575</v>
      </c>
      <c r="B23" s="2" t="s">
        <v>885</v>
      </c>
      <c r="C23" s="12">
        <v>1</v>
      </c>
      <c r="D23" s="12"/>
      <c r="E23" s="24"/>
      <c r="F23" s="12"/>
      <c r="G23" s="24"/>
      <c r="H23" s="24"/>
      <c r="I23" s="24">
        <v>55</v>
      </c>
      <c r="J23" s="1" t="s">
        <v>557</v>
      </c>
      <c r="K23" s="3">
        <v>8.6300000000000008</v>
      </c>
      <c r="L23" s="3">
        <v>0.57999999999999996</v>
      </c>
      <c r="M23" s="9">
        <v>83</v>
      </c>
    </row>
    <row r="24" spans="1:13" x14ac:dyDescent="0.15">
      <c r="A24" s="2"/>
      <c r="B24" s="2" t="s">
        <v>886</v>
      </c>
      <c r="C24" s="12"/>
      <c r="D24" s="12"/>
      <c r="E24" s="24"/>
      <c r="F24" s="12"/>
      <c r="G24" s="24"/>
      <c r="H24" s="24" t="s">
        <v>108</v>
      </c>
      <c r="I24" s="24">
        <v>21</v>
      </c>
      <c r="J24" s="1" t="s">
        <v>365</v>
      </c>
      <c r="K24" s="6">
        <v>9.43</v>
      </c>
      <c r="L24" s="6"/>
      <c r="M24" s="9">
        <v>47</v>
      </c>
    </row>
    <row r="25" spans="1:13" x14ac:dyDescent="0.15">
      <c r="A25" s="2"/>
      <c r="B25" s="2" t="s">
        <v>886</v>
      </c>
      <c r="C25" s="12"/>
      <c r="D25" s="12"/>
      <c r="E25" s="24"/>
      <c r="F25" s="12"/>
      <c r="G25" s="24"/>
      <c r="H25" s="24" t="s">
        <v>140</v>
      </c>
      <c r="I25" s="24">
        <v>26</v>
      </c>
      <c r="J25" s="1" t="s">
        <v>254</v>
      </c>
      <c r="K25" s="8">
        <v>14.47</v>
      </c>
      <c r="L25" s="8"/>
      <c r="M25" s="9">
        <v>47</v>
      </c>
    </row>
    <row r="26" spans="1:13" x14ac:dyDescent="0.15">
      <c r="A26" s="2"/>
      <c r="B26" s="2" t="s">
        <v>886</v>
      </c>
      <c r="C26" s="12"/>
      <c r="D26" s="12"/>
      <c r="E26" s="24"/>
      <c r="F26" s="12"/>
      <c r="G26" s="24"/>
      <c r="H26" s="24" t="s">
        <v>109</v>
      </c>
      <c r="I26" s="24">
        <v>23</v>
      </c>
      <c r="J26" s="1" t="s">
        <v>399</v>
      </c>
      <c r="K26" s="8">
        <v>17</v>
      </c>
      <c r="L26" s="8">
        <v>4</v>
      </c>
      <c r="M26" s="9">
        <v>54</v>
      </c>
    </row>
    <row r="27" spans="1:13" x14ac:dyDescent="0.15">
      <c r="A27" s="2"/>
      <c r="B27" s="2" t="s">
        <v>886</v>
      </c>
      <c r="C27" s="12"/>
      <c r="D27" s="12"/>
      <c r="E27" s="24"/>
      <c r="F27" s="12"/>
      <c r="G27" s="24"/>
      <c r="H27" s="24" t="s">
        <v>62</v>
      </c>
      <c r="I27" s="24">
        <v>14</v>
      </c>
      <c r="J27" s="1" t="s">
        <v>249</v>
      </c>
      <c r="K27" s="8">
        <v>17.96</v>
      </c>
      <c r="L27" s="8">
        <v>5.4763856693991135</v>
      </c>
      <c r="M27" s="9" t="s">
        <v>720</v>
      </c>
    </row>
    <row r="28" spans="1:13" x14ac:dyDescent="0.15">
      <c r="A28" s="2"/>
      <c r="B28" s="2" t="s">
        <v>886</v>
      </c>
      <c r="C28" s="12"/>
      <c r="D28" s="12"/>
      <c r="E28" s="24"/>
      <c r="F28" s="12"/>
      <c r="G28" s="24"/>
      <c r="H28" s="24" t="s">
        <v>108</v>
      </c>
      <c r="I28" s="24">
        <v>24</v>
      </c>
      <c r="J28" s="1" t="s">
        <v>180</v>
      </c>
      <c r="K28" s="8">
        <v>18.899999999999999</v>
      </c>
      <c r="L28" s="8">
        <v>0.28284271247462051</v>
      </c>
      <c r="M28" s="9" t="s">
        <v>729</v>
      </c>
    </row>
    <row r="29" spans="1:13" x14ac:dyDescent="0.15">
      <c r="A29" s="2" t="s">
        <v>575</v>
      </c>
      <c r="B29" s="2" t="s">
        <v>885</v>
      </c>
      <c r="C29" s="12">
        <v>1</v>
      </c>
      <c r="D29" s="12"/>
      <c r="E29" s="24"/>
      <c r="F29" s="12"/>
      <c r="G29" s="24"/>
      <c r="H29" s="24"/>
      <c r="I29" s="24">
        <v>42</v>
      </c>
      <c r="J29" s="1" t="s">
        <v>526</v>
      </c>
      <c r="K29" s="8">
        <v>23.1</v>
      </c>
      <c r="L29" s="8">
        <v>1.7</v>
      </c>
      <c r="M29" s="9">
        <v>67</v>
      </c>
    </row>
    <row r="30" spans="1:13" x14ac:dyDescent="0.15">
      <c r="A30" s="2"/>
      <c r="B30" s="2" t="s">
        <v>886</v>
      </c>
      <c r="C30" s="12"/>
      <c r="D30" s="12"/>
      <c r="E30" s="24"/>
      <c r="F30" s="12"/>
      <c r="G30" s="24"/>
      <c r="H30" s="24" t="s">
        <v>369</v>
      </c>
      <c r="I30" s="24">
        <v>180</v>
      </c>
      <c r="J30" s="1" t="s">
        <v>366</v>
      </c>
      <c r="K30" s="8">
        <v>30</v>
      </c>
      <c r="L30" s="8"/>
      <c r="M30" s="9">
        <v>68</v>
      </c>
    </row>
    <row r="31" spans="1:13" x14ac:dyDescent="0.15">
      <c r="A31" s="2"/>
      <c r="B31" s="2" t="s">
        <v>886</v>
      </c>
      <c r="C31" s="12"/>
      <c r="D31" s="12"/>
      <c r="E31" s="24"/>
      <c r="F31" s="12"/>
      <c r="G31" s="24"/>
      <c r="H31" s="24" t="s">
        <v>61</v>
      </c>
      <c r="I31" s="24">
        <v>12</v>
      </c>
      <c r="J31" s="1" t="s">
        <v>396</v>
      </c>
      <c r="K31" s="8">
        <v>30</v>
      </c>
      <c r="L31" s="6">
        <v>9.8994949366116654</v>
      </c>
      <c r="M31" s="9" t="s">
        <v>719</v>
      </c>
    </row>
    <row r="32" spans="1:13" x14ac:dyDescent="0.15">
      <c r="A32" s="2"/>
      <c r="B32" s="2" t="s">
        <v>886</v>
      </c>
      <c r="C32" s="12"/>
      <c r="D32" s="12"/>
      <c r="E32" s="24"/>
      <c r="F32" s="12"/>
      <c r="G32" s="24"/>
      <c r="H32" s="24" t="s">
        <v>108</v>
      </c>
      <c r="I32" s="24">
        <v>31</v>
      </c>
      <c r="J32" s="1" t="s">
        <v>181</v>
      </c>
      <c r="K32" s="8">
        <v>37.832499999999996</v>
      </c>
      <c r="L32" s="8">
        <v>8.2554716703529696</v>
      </c>
      <c r="M32" s="9" t="s">
        <v>732</v>
      </c>
    </row>
    <row r="33" spans="1:13" x14ac:dyDescent="0.15">
      <c r="A33" s="2"/>
      <c r="B33" s="2" t="s">
        <v>886</v>
      </c>
      <c r="C33" s="12"/>
      <c r="D33" s="12"/>
      <c r="E33" s="24"/>
      <c r="F33" s="12"/>
      <c r="G33" s="24"/>
      <c r="H33" s="24" t="s">
        <v>109</v>
      </c>
      <c r="I33" s="24">
        <v>30</v>
      </c>
      <c r="J33" s="1" t="s">
        <v>400</v>
      </c>
      <c r="K33" s="8">
        <v>49</v>
      </c>
      <c r="L33" s="8">
        <v>4</v>
      </c>
      <c r="M33" s="9">
        <v>54</v>
      </c>
    </row>
    <row r="34" spans="1:13" x14ac:dyDescent="0.15">
      <c r="A34" s="2" t="s">
        <v>575</v>
      </c>
      <c r="B34" s="2" t="s">
        <v>885</v>
      </c>
      <c r="C34" s="12">
        <v>1</v>
      </c>
      <c r="D34" s="12"/>
      <c r="E34" s="24"/>
      <c r="F34" s="12"/>
      <c r="G34" s="24"/>
      <c r="H34" s="24"/>
      <c r="I34" s="24">
        <v>61</v>
      </c>
      <c r="J34" s="1" t="s">
        <v>532</v>
      </c>
      <c r="K34" s="8">
        <v>68.95</v>
      </c>
      <c r="L34" s="8">
        <v>7.141778489984131</v>
      </c>
      <c r="M34" s="9" t="s">
        <v>741</v>
      </c>
    </row>
    <row r="35" spans="1:13" x14ac:dyDescent="0.15">
      <c r="A35" s="2" t="s">
        <v>575</v>
      </c>
      <c r="B35" s="2" t="s">
        <v>885</v>
      </c>
      <c r="C35" s="12">
        <v>1</v>
      </c>
      <c r="D35" s="12"/>
      <c r="E35" s="24"/>
      <c r="F35" s="12"/>
      <c r="G35" s="24"/>
      <c r="H35" s="24"/>
      <c r="I35" s="24">
        <v>60</v>
      </c>
      <c r="J35" s="1" t="s">
        <v>529</v>
      </c>
      <c r="K35" s="8">
        <v>82.5</v>
      </c>
      <c r="L35" s="8">
        <v>5.2</v>
      </c>
      <c r="M35" s="9">
        <v>67</v>
      </c>
    </row>
    <row r="36" spans="1:13" x14ac:dyDescent="0.15">
      <c r="A36" s="2" t="s">
        <v>575</v>
      </c>
      <c r="B36" s="2" t="s">
        <v>885</v>
      </c>
      <c r="C36" s="12">
        <v>1</v>
      </c>
      <c r="D36" s="12"/>
      <c r="E36" s="24"/>
      <c r="F36" s="12"/>
      <c r="G36" s="24"/>
      <c r="H36" s="24"/>
      <c r="I36" s="24">
        <v>17</v>
      </c>
      <c r="J36" s="1" t="s">
        <v>523</v>
      </c>
      <c r="K36" s="8">
        <v>85.1</v>
      </c>
      <c r="L36" s="8">
        <v>6.1</v>
      </c>
      <c r="M36" s="9">
        <v>67</v>
      </c>
    </row>
    <row r="37" spans="1:13" x14ac:dyDescent="0.15">
      <c r="A37" s="2" t="s">
        <v>575</v>
      </c>
      <c r="B37" s="2" t="s">
        <v>885</v>
      </c>
      <c r="C37" s="12">
        <v>3</v>
      </c>
      <c r="D37" s="12"/>
      <c r="E37" s="24"/>
      <c r="F37" s="12"/>
      <c r="G37" s="24"/>
      <c r="H37" s="24"/>
      <c r="I37" s="24">
        <v>27</v>
      </c>
      <c r="J37" s="1" t="s">
        <v>555</v>
      </c>
      <c r="K37" s="8">
        <v>88</v>
      </c>
      <c r="L37" s="3">
        <v>5.5</v>
      </c>
      <c r="M37" s="9">
        <v>83</v>
      </c>
    </row>
    <row r="38" spans="1:13" x14ac:dyDescent="0.15">
      <c r="A38" s="2" t="s">
        <v>575</v>
      </c>
      <c r="B38" s="2" t="s">
        <v>885</v>
      </c>
      <c r="C38" s="12">
        <v>2</v>
      </c>
      <c r="D38" s="12"/>
      <c r="E38" s="24"/>
      <c r="F38" s="12"/>
      <c r="G38" s="24"/>
      <c r="H38" s="24"/>
      <c r="I38" s="24">
        <v>74</v>
      </c>
      <c r="J38" s="1" t="s">
        <v>687</v>
      </c>
      <c r="K38" s="8">
        <v>122.2</v>
      </c>
      <c r="L38" s="8"/>
      <c r="M38" s="9">
        <v>48</v>
      </c>
    </row>
    <row r="39" spans="1:13" x14ac:dyDescent="0.15">
      <c r="A39" s="15" t="s">
        <v>16</v>
      </c>
      <c r="B39" s="15" t="s">
        <v>889</v>
      </c>
      <c r="C39" s="71"/>
      <c r="D39" s="71">
        <v>1</v>
      </c>
      <c r="E39" s="76"/>
      <c r="F39" s="71"/>
      <c r="G39" s="76"/>
      <c r="H39" s="76"/>
      <c r="I39" s="76">
        <v>32</v>
      </c>
      <c r="J39" s="19" t="s">
        <v>556</v>
      </c>
      <c r="K39" s="16">
        <v>399</v>
      </c>
      <c r="L39" s="16">
        <v>58</v>
      </c>
      <c r="M39" s="18">
        <v>83</v>
      </c>
    </row>
    <row r="44" spans="1:13" x14ac:dyDescent="0.15">
      <c r="J44" s="14"/>
    </row>
  </sheetData>
  <sortState xmlns:xlrd2="http://schemas.microsoft.com/office/spreadsheetml/2017/richdata2" ref="A10:M39">
    <sortCondition ref="K10:K39"/>
  </sortState>
  <mergeCells count="3">
    <mergeCell ref="C7:H7"/>
    <mergeCell ref="D8:E8"/>
    <mergeCell ref="F8:G8"/>
  </mergeCells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6749-6F56-8147-BECA-5E2519B412D5}">
  <dimension ref="A1:K25"/>
  <sheetViews>
    <sheetView topLeftCell="A3" zoomScale="120" zoomScaleNormal="120" workbookViewId="0">
      <selection activeCell="F8" sqref="F8"/>
    </sheetView>
  </sheetViews>
  <sheetFormatPr baseColWidth="10" defaultColWidth="8.83203125" defaultRowHeight="14" x14ac:dyDescent="0.15"/>
  <cols>
    <col min="1" max="1" width="27.83203125" style="1" bestFit="1" customWidth="1"/>
    <col min="2" max="2" width="18.5" style="1" bestFit="1" customWidth="1"/>
    <col min="3" max="3" width="5.5" style="3" bestFit="1" customWidth="1"/>
    <col min="4" max="5" width="4.5" style="3" customWidth="1"/>
    <col min="6" max="6" width="6.33203125" style="3" customWidth="1"/>
    <col min="7" max="7" width="3.1640625" style="3" bestFit="1" customWidth="1"/>
    <col min="8" max="8" width="13.1640625" style="1" bestFit="1" customWidth="1"/>
    <col min="9" max="9" width="10" style="3" customWidth="1"/>
    <col min="10" max="10" width="11.33203125" style="3" bestFit="1" customWidth="1"/>
    <col min="11" max="11" width="17" style="5" customWidth="1"/>
    <col min="12" max="12" width="9.1640625" style="1" bestFit="1" customWidth="1"/>
    <col min="13" max="13" width="8.83203125" style="1"/>
    <col min="14" max="14" width="9.83203125" style="1" customWidth="1"/>
    <col min="15" max="15" width="12.5" style="1" bestFit="1" customWidth="1"/>
    <col min="16" max="16" width="14.33203125" style="1" bestFit="1" customWidth="1"/>
    <col min="17" max="18" width="8.83203125" style="1"/>
    <col min="19" max="19" width="12.5" style="1" bestFit="1" customWidth="1"/>
    <col min="20" max="20" width="12.33203125" style="1" bestFit="1" customWidth="1"/>
    <col min="21" max="23" width="8.83203125" style="1"/>
    <col min="24" max="24" width="9.1640625" style="1" bestFit="1" customWidth="1"/>
    <col min="25" max="16384" width="8.83203125" style="1"/>
  </cols>
  <sheetData>
    <row r="1" spans="1:11" x14ac:dyDescent="0.15">
      <c r="A1" s="1" t="s">
        <v>913</v>
      </c>
    </row>
    <row r="2" spans="1:11" x14ac:dyDescent="0.15">
      <c r="A2" s="113" t="s">
        <v>887</v>
      </c>
    </row>
    <row r="3" spans="1:11" x14ac:dyDescent="0.15">
      <c r="A3" s="1" t="s">
        <v>838</v>
      </c>
    </row>
    <row r="4" spans="1:11" x14ac:dyDescent="0.15">
      <c r="A4" s="1" t="s">
        <v>837</v>
      </c>
    </row>
    <row r="5" spans="1:11" x14ac:dyDescent="0.15">
      <c r="A5" s="1" t="s">
        <v>836</v>
      </c>
    </row>
    <row r="6" spans="1:11" x14ac:dyDescent="0.15">
      <c r="A6" s="1" t="s">
        <v>835</v>
      </c>
    </row>
    <row r="7" spans="1:11" x14ac:dyDescent="0.15">
      <c r="C7" s="154"/>
      <c r="D7" s="154"/>
      <c r="E7" s="154"/>
      <c r="F7" s="154"/>
      <c r="G7" s="22"/>
      <c r="H7" s="14"/>
      <c r="I7" s="22"/>
      <c r="J7" s="22"/>
      <c r="K7" s="25"/>
    </row>
    <row r="8" spans="1:11" x14ac:dyDescent="0.15">
      <c r="A8" s="127" t="s">
        <v>911</v>
      </c>
      <c r="B8" s="92" t="s">
        <v>887</v>
      </c>
      <c r="C8" s="129" t="s">
        <v>570</v>
      </c>
      <c r="D8" s="89" t="s">
        <v>43</v>
      </c>
      <c r="E8" s="88" t="s">
        <v>34</v>
      </c>
      <c r="F8" s="89" t="s">
        <v>18</v>
      </c>
      <c r="G8" s="130" t="s">
        <v>90</v>
      </c>
      <c r="H8" s="128" t="s">
        <v>1</v>
      </c>
      <c r="I8" s="92" t="s">
        <v>2</v>
      </c>
      <c r="J8" s="92" t="s">
        <v>843</v>
      </c>
      <c r="K8" s="131" t="s">
        <v>899</v>
      </c>
    </row>
    <row r="9" spans="1:11" x14ac:dyDescent="0.15">
      <c r="A9" s="86"/>
      <c r="B9" s="32" t="s">
        <v>888</v>
      </c>
      <c r="C9" s="44"/>
      <c r="D9" s="3">
        <v>1</v>
      </c>
      <c r="E9" s="44"/>
      <c r="G9" s="44">
        <v>62</v>
      </c>
      <c r="H9" s="1" t="s">
        <v>530</v>
      </c>
      <c r="I9" s="7">
        <v>1.1599999999999999E-2</v>
      </c>
      <c r="J9" s="7"/>
      <c r="K9" s="36">
        <v>8</v>
      </c>
    </row>
    <row r="10" spans="1:11" x14ac:dyDescent="0.15">
      <c r="A10" s="86"/>
      <c r="B10" s="32" t="s">
        <v>888</v>
      </c>
      <c r="C10" s="44"/>
      <c r="D10" s="3">
        <v>1</v>
      </c>
      <c r="E10" s="44"/>
      <c r="G10" s="44">
        <v>18</v>
      </c>
      <c r="H10" s="1" t="s">
        <v>524</v>
      </c>
      <c r="I10" s="7">
        <v>3.4599999999999999E-2</v>
      </c>
      <c r="J10" s="7"/>
      <c r="K10" s="36">
        <v>8</v>
      </c>
    </row>
    <row r="11" spans="1:11" x14ac:dyDescent="0.15">
      <c r="A11" s="86"/>
      <c r="B11" s="32" t="s">
        <v>888</v>
      </c>
      <c r="C11" s="44"/>
      <c r="D11" s="3">
        <v>1</v>
      </c>
      <c r="E11" s="44"/>
      <c r="G11" s="44">
        <v>43</v>
      </c>
      <c r="H11" s="1" t="s">
        <v>527</v>
      </c>
      <c r="I11" s="6">
        <v>0.1782</v>
      </c>
      <c r="J11" s="6"/>
      <c r="K11" s="36">
        <v>8</v>
      </c>
    </row>
    <row r="12" spans="1:11" x14ac:dyDescent="0.15">
      <c r="A12" s="86"/>
      <c r="B12" s="32" t="s">
        <v>886</v>
      </c>
      <c r="C12" s="44"/>
      <c r="E12" s="44"/>
      <c r="F12" s="3" t="s">
        <v>62</v>
      </c>
      <c r="G12" s="44">
        <v>13</v>
      </c>
      <c r="H12" s="1" t="s">
        <v>490</v>
      </c>
      <c r="I12" s="6">
        <v>0.67</v>
      </c>
      <c r="J12" s="6"/>
      <c r="K12" s="36">
        <v>76</v>
      </c>
    </row>
    <row r="13" spans="1:11" x14ac:dyDescent="0.15">
      <c r="A13" s="86"/>
      <c r="B13" s="32" t="s">
        <v>886</v>
      </c>
      <c r="C13" s="44"/>
      <c r="E13" s="44"/>
      <c r="F13" s="3" t="s">
        <v>62</v>
      </c>
      <c r="G13" s="44">
        <v>36</v>
      </c>
      <c r="H13" s="1" t="s">
        <v>492</v>
      </c>
      <c r="I13" s="6">
        <v>0.72</v>
      </c>
      <c r="J13" s="6"/>
      <c r="K13" s="36">
        <v>76</v>
      </c>
    </row>
    <row r="14" spans="1:11" x14ac:dyDescent="0.15">
      <c r="A14" s="86"/>
      <c r="B14" s="32" t="s">
        <v>886</v>
      </c>
      <c r="C14" s="44"/>
      <c r="E14" s="44"/>
      <c r="F14" s="3" t="s">
        <v>61</v>
      </c>
      <c r="G14" s="44">
        <v>11</v>
      </c>
      <c r="H14" s="1" t="s">
        <v>494</v>
      </c>
      <c r="I14" s="6">
        <v>0.76</v>
      </c>
      <c r="J14" s="6"/>
      <c r="K14" s="36">
        <v>76</v>
      </c>
    </row>
    <row r="15" spans="1:11" x14ac:dyDescent="0.15">
      <c r="A15" s="86"/>
      <c r="B15" s="32" t="s">
        <v>886</v>
      </c>
      <c r="C15" s="44"/>
      <c r="E15" s="44"/>
      <c r="F15" s="3" t="s">
        <v>62</v>
      </c>
      <c r="G15" s="44">
        <v>52</v>
      </c>
      <c r="H15" s="1" t="s">
        <v>493</v>
      </c>
      <c r="I15" s="6">
        <v>1.1299999999999999</v>
      </c>
      <c r="J15" s="6"/>
      <c r="K15" s="36">
        <v>76</v>
      </c>
    </row>
    <row r="16" spans="1:11" x14ac:dyDescent="0.15">
      <c r="A16" s="86"/>
      <c r="B16" s="32" t="s">
        <v>886</v>
      </c>
      <c r="C16" s="44"/>
      <c r="E16" s="44"/>
      <c r="F16" s="3" t="s">
        <v>61</v>
      </c>
      <c r="G16" s="44">
        <v>33</v>
      </c>
      <c r="H16" s="1" t="s">
        <v>495</v>
      </c>
      <c r="I16" s="6">
        <v>1.57</v>
      </c>
      <c r="J16" s="6"/>
      <c r="K16" s="36">
        <v>76</v>
      </c>
    </row>
    <row r="17" spans="1:11" x14ac:dyDescent="0.15">
      <c r="A17" s="86"/>
      <c r="B17" s="32" t="s">
        <v>886</v>
      </c>
      <c r="C17" s="44"/>
      <c r="E17" s="44"/>
      <c r="F17" s="3" t="s">
        <v>61</v>
      </c>
      <c r="G17" s="44">
        <v>49</v>
      </c>
      <c r="H17" s="1" t="s">
        <v>496</v>
      </c>
      <c r="I17" s="6">
        <v>1.67</v>
      </c>
      <c r="J17" s="6"/>
      <c r="K17" s="36">
        <v>76</v>
      </c>
    </row>
    <row r="18" spans="1:11" x14ac:dyDescent="0.15">
      <c r="A18" s="86"/>
      <c r="B18" s="32" t="s">
        <v>834</v>
      </c>
      <c r="C18" s="44"/>
      <c r="E18" s="44"/>
      <c r="G18" s="44">
        <v>86</v>
      </c>
      <c r="H18" s="1" t="s">
        <v>16</v>
      </c>
      <c r="I18" s="6">
        <v>9.44</v>
      </c>
      <c r="J18" s="6"/>
      <c r="K18" s="36">
        <v>76</v>
      </c>
    </row>
    <row r="19" spans="1:11" x14ac:dyDescent="0.15">
      <c r="A19" s="86" t="s">
        <v>575</v>
      </c>
      <c r="B19" s="32" t="s">
        <v>885</v>
      </c>
      <c r="C19" s="44">
        <v>1</v>
      </c>
      <c r="E19" s="44"/>
      <c r="G19" s="44">
        <v>58</v>
      </c>
      <c r="H19" s="1" t="s">
        <v>491</v>
      </c>
      <c r="I19" s="5">
        <v>305.27999999999997</v>
      </c>
      <c r="J19" s="5"/>
      <c r="K19" s="36">
        <v>76</v>
      </c>
    </row>
    <row r="20" spans="1:11" x14ac:dyDescent="0.15">
      <c r="A20" s="94" t="s">
        <v>15</v>
      </c>
      <c r="B20" s="100" t="s">
        <v>885</v>
      </c>
      <c r="C20" s="77"/>
      <c r="D20" s="16"/>
      <c r="E20" s="77">
        <v>1</v>
      </c>
      <c r="F20" s="16"/>
      <c r="G20" s="77">
        <v>32</v>
      </c>
      <c r="H20" s="19" t="s">
        <v>556</v>
      </c>
      <c r="I20" s="16">
        <v>399</v>
      </c>
      <c r="J20" s="16">
        <v>58</v>
      </c>
      <c r="K20" s="73">
        <v>83</v>
      </c>
    </row>
    <row r="25" spans="1:11" x14ac:dyDescent="0.15">
      <c r="H25" s="14"/>
    </row>
  </sheetData>
  <sortState xmlns:xlrd2="http://schemas.microsoft.com/office/spreadsheetml/2017/richdata2" ref="A9:K20">
    <sortCondition ref="I9:I20"/>
  </sortState>
  <mergeCells count="1">
    <mergeCell ref="C7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9C11-81A4-1A44-8556-9C7927793F38}">
  <dimension ref="A1:N40"/>
  <sheetViews>
    <sheetView zoomScale="110" zoomScaleNormal="110" workbookViewId="0">
      <selection activeCell="L11" sqref="L11"/>
    </sheetView>
  </sheetViews>
  <sheetFormatPr baseColWidth="10" defaultColWidth="8.83203125" defaultRowHeight="14" x14ac:dyDescent="0.15"/>
  <cols>
    <col min="1" max="1" width="27" style="1" customWidth="1"/>
    <col min="2" max="2" width="18.83203125" style="1" bestFit="1" customWidth="1"/>
    <col min="3" max="3" width="12.5" style="3" bestFit="1" customWidth="1"/>
    <col min="4" max="4" width="5.5" style="3" bestFit="1" customWidth="1"/>
    <col min="5" max="5" width="9.1640625" style="3" bestFit="1" customWidth="1"/>
    <col min="6" max="6" width="3.83203125" style="3" bestFit="1" customWidth="1"/>
    <col min="7" max="8" width="5" style="3" bestFit="1" customWidth="1"/>
    <col min="9" max="9" width="4" style="3" bestFit="1" customWidth="1"/>
    <col min="10" max="10" width="6.1640625" style="3" bestFit="1" customWidth="1"/>
    <col min="11" max="11" width="38.1640625" style="1" bestFit="1" customWidth="1"/>
    <col min="12" max="12" width="10" style="3" customWidth="1"/>
    <col min="13" max="13" width="11.33203125" style="3" bestFit="1" customWidth="1"/>
    <col min="14" max="14" width="20.33203125" style="5" bestFit="1" customWidth="1"/>
    <col min="15" max="15" width="9.1640625" style="1" bestFit="1" customWidth="1"/>
    <col min="16" max="16" width="8.83203125" style="1"/>
    <col min="17" max="17" width="9.83203125" style="1" customWidth="1"/>
    <col min="18" max="18" width="12.5" style="1" bestFit="1" customWidth="1"/>
    <col min="19" max="19" width="14.33203125" style="1" bestFit="1" customWidth="1"/>
    <col min="20" max="21" width="8.83203125" style="1"/>
    <col min="22" max="22" width="12.5" style="1" bestFit="1" customWidth="1"/>
    <col min="23" max="23" width="12.33203125" style="1" bestFit="1" customWidth="1"/>
    <col min="24" max="26" width="8.83203125" style="1"/>
    <col min="27" max="27" width="9.1640625" style="1" bestFit="1" customWidth="1"/>
    <col min="28" max="16384" width="8.83203125" style="1"/>
  </cols>
  <sheetData>
    <row r="1" spans="1:14" x14ac:dyDescent="0.15">
      <c r="A1" s="1" t="s">
        <v>913</v>
      </c>
    </row>
    <row r="2" spans="1:14" x14ac:dyDescent="0.15">
      <c r="A2" s="113" t="s">
        <v>887</v>
      </c>
    </row>
    <row r="3" spans="1:14" x14ac:dyDescent="0.15">
      <c r="A3" s="1" t="s">
        <v>838</v>
      </c>
    </row>
    <row r="4" spans="1:14" x14ac:dyDescent="0.15">
      <c r="A4" s="1" t="s">
        <v>837</v>
      </c>
    </row>
    <row r="5" spans="1:14" x14ac:dyDescent="0.15">
      <c r="A5" s="1" t="s">
        <v>836</v>
      </c>
    </row>
    <row r="6" spans="1:14" x14ac:dyDescent="0.15">
      <c r="A6" s="1" t="s">
        <v>835</v>
      </c>
      <c r="B6" s="14"/>
      <c r="C6" s="14"/>
      <c r="D6" s="14"/>
      <c r="E6" s="154"/>
      <c r="F6" s="154"/>
      <c r="G6" s="154"/>
      <c r="H6" s="154"/>
      <c r="I6" s="154"/>
      <c r="J6" s="22"/>
      <c r="K6" s="14"/>
      <c r="L6" s="22"/>
      <c r="M6" s="22"/>
      <c r="N6" s="25"/>
    </row>
    <row r="7" spans="1:14" x14ac:dyDescent="0.15">
      <c r="B7" s="14"/>
      <c r="C7" s="14"/>
      <c r="D7" s="14"/>
      <c r="E7" s="22"/>
      <c r="F7" s="22"/>
      <c r="G7" s="22"/>
      <c r="H7" s="22"/>
      <c r="I7" s="22"/>
      <c r="J7" s="22"/>
      <c r="K7" s="14"/>
      <c r="L7" s="22"/>
      <c r="M7" s="22"/>
      <c r="N7" s="25"/>
    </row>
    <row r="8" spans="1:14" x14ac:dyDescent="0.15">
      <c r="A8" s="121"/>
      <c r="B8" s="141"/>
      <c r="C8" s="114"/>
      <c r="D8" s="114"/>
      <c r="E8" s="124"/>
      <c r="F8" s="160" t="s">
        <v>831</v>
      </c>
      <c r="G8" s="161"/>
      <c r="H8" s="162" t="s">
        <v>832</v>
      </c>
      <c r="I8" s="162"/>
      <c r="J8" s="125"/>
      <c r="K8" s="114"/>
      <c r="L8" s="119"/>
      <c r="M8" s="120"/>
      <c r="N8" s="120"/>
    </row>
    <row r="9" spans="1:14" x14ac:dyDescent="0.15">
      <c r="A9" s="139" t="s">
        <v>911</v>
      </c>
      <c r="B9" s="89" t="s">
        <v>887</v>
      </c>
      <c r="C9" s="89" t="s">
        <v>575</v>
      </c>
      <c r="D9" s="129" t="s">
        <v>570</v>
      </c>
      <c r="E9" s="87" t="s">
        <v>44</v>
      </c>
      <c r="F9" s="133" t="s">
        <v>37</v>
      </c>
      <c r="G9" s="89" t="s">
        <v>43</v>
      </c>
      <c r="H9" s="116" t="s">
        <v>32</v>
      </c>
      <c r="I9" s="116" t="s">
        <v>34</v>
      </c>
      <c r="J9" s="130" t="s">
        <v>90</v>
      </c>
      <c r="K9" s="116" t="s">
        <v>1</v>
      </c>
      <c r="L9" s="88" t="s">
        <v>2</v>
      </c>
      <c r="M9" s="88" t="s">
        <v>843</v>
      </c>
      <c r="N9" s="134" t="s">
        <v>899</v>
      </c>
    </row>
    <row r="10" spans="1:14" x14ac:dyDescent="0.15">
      <c r="A10" s="2"/>
      <c r="B10" s="1" t="s">
        <v>888</v>
      </c>
      <c r="C10" s="12">
        <v>3</v>
      </c>
      <c r="D10" s="3">
        <v>1</v>
      </c>
      <c r="E10" s="12"/>
      <c r="F10" s="12"/>
      <c r="G10" s="24">
        <v>1</v>
      </c>
      <c r="J10" s="44">
        <v>65</v>
      </c>
      <c r="K10" s="1" t="s">
        <v>440</v>
      </c>
      <c r="L10" s="4">
        <v>1.5555555555555554E-4</v>
      </c>
      <c r="M10" s="47">
        <v>1.1111111111111108E-5</v>
      </c>
      <c r="N10" s="9">
        <v>64</v>
      </c>
    </row>
    <row r="11" spans="1:14" x14ac:dyDescent="0.15">
      <c r="A11" s="10"/>
      <c r="B11" s="1" t="s">
        <v>914</v>
      </c>
      <c r="C11" s="12">
        <v>3</v>
      </c>
      <c r="D11" s="3">
        <v>1</v>
      </c>
      <c r="E11" s="12"/>
      <c r="F11" s="12"/>
      <c r="G11" s="24"/>
      <c r="J11" s="44">
        <v>208</v>
      </c>
      <c r="K11" s="1" t="s">
        <v>122</v>
      </c>
      <c r="L11" s="4">
        <v>4.5199999999999998E-4</v>
      </c>
      <c r="M11" s="47">
        <v>2.7626074639731208E-4</v>
      </c>
      <c r="N11" s="9" t="s">
        <v>788</v>
      </c>
    </row>
    <row r="12" spans="1:14" x14ac:dyDescent="0.15">
      <c r="A12" s="2"/>
      <c r="B12" s="1" t="s">
        <v>840</v>
      </c>
      <c r="C12" s="12">
        <v>6</v>
      </c>
      <c r="D12" s="3">
        <v>2</v>
      </c>
      <c r="E12" s="12"/>
      <c r="F12" s="12"/>
      <c r="G12" s="24"/>
      <c r="J12" s="44">
        <v>5</v>
      </c>
      <c r="K12" s="1" t="s">
        <v>517</v>
      </c>
      <c r="L12" s="4">
        <v>5.9999999999999995E-4</v>
      </c>
      <c r="M12" s="47">
        <v>3.0000000000000001E-5</v>
      </c>
      <c r="N12" s="9">
        <v>90</v>
      </c>
    </row>
    <row r="13" spans="1:14" x14ac:dyDescent="0.15">
      <c r="A13" s="2"/>
      <c r="B13" s="1" t="s">
        <v>840</v>
      </c>
      <c r="C13" s="12">
        <v>6</v>
      </c>
      <c r="D13" s="3">
        <v>2</v>
      </c>
      <c r="E13" s="12"/>
      <c r="F13" s="12"/>
      <c r="G13" s="24"/>
      <c r="J13" s="44">
        <v>3</v>
      </c>
      <c r="K13" s="1" t="s">
        <v>516</v>
      </c>
      <c r="L13" s="4">
        <v>8.8999999999999995E-4</v>
      </c>
      <c r="M13" s="47">
        <v>3.0000000000000001E-5</v>
      </c>
      <c r="N13" s="9">
        <v>90</v>
      </c>
    </row>
    <row r="14" spans="1:14" x14ac:dyDescent="0.15">
      <c r="A14" s="2"/>
      <c r="B14" s="1" t="s">
        <v>840</v>
      </c>
      <c r="C14" s="12">
        <v>9</v>
      </c>
      <c r="D14" s="3">
        <v>3</v>
      </c>
      <c r="E14" s="12"/>
      <c r="F14" s="12"/>
      <c r="G14" s="24"/>
      <c r="J14" s="44">
        <v>6</v>
      </c>
      <c r="K14" s="1" t="s">
        <v>159</v>
      </c>
      <c r="L14" s="4">
        <v>1.01E-3</v>
      </c>
      <c r="M14" s="47">
        <v>4.0000000000000003E-5</v>
      </c>
      <c r="N14" s="9">
        <v>90</v>
      </c>
    </row>
    <row r="15" spans="1:14" x14ac:dyDescent="0.15">
      <c r="A15" s="2"/>
      <c r="B15" s="1" t="s">
        <v>840</v>
      </c>
      <c r="C15" s="12">
        <v>6</v>
      </c>
      <c r="D15" s="3">
        <v>2</v>
      </c>
      <c r="E15" s="12"/>
      <c r="F15" s="12"/>
      <c r="G15" s="24"/>
      <c r="J15" s="44">
        <v>7</v>
      </c>
      <c r="K15" s="1" t="s">
        <v>518</v>
      </c>
      <c r="L15" s="4">
        <v>1.15E-3</v>
      </c>
      <c r="M15" s="47">
        <v>5.0000000000000002E-5</v>
      </c>
      <c r="N15" s="9">
        <v>90</v>
      </c>
    </row>
    <row r="16" spans="1:14" x14ac:dyDescent="0.15">
      <c r="A16" s="2"/>
      <c r="B16" s="1" t="s">
        <v>888</v>
      </c>
      <c r="C16" s="12">
        <v>3</v>
      </c>
      <c r="D16" s="3">
        <v>1</v>
      </c>
      <c r="E16" s="12"/>
      <c r="F16" s="12"/>
      <c r="G16" s="24">
        <v>3</v>
      </c>
      <c r="J16" s="44">
        <v>29</v>
      </c>
      <c r="K16" s="1" t="s">
        <v>685</v>
      </c>
      <c r="L16" s="4">
        <v>1.1800000000000001E-3</v>
      </c>
      <c r="M16" s="47">
        <v>2.0000000000000002E-5</v>
      </c>
      <c r="N16" s="24">
        <v>45</v>
      </c>
    </row>
    <row r="17" spans="1:14" x14ac:dyDescent="0.15">
      <c r="A17" s="2"/>
      <c r="B17" s="1" t="s">
        <v>840</v>
      </c>
      <c r="C17" s="12">
        <v>4</v>
      </c>
      <c r="D17" s="3">
        <v>2</v>
      </c>
      <c r="E17" s="12">
        <v>1</v>
      </c>
      <c r="F17" s="12"/>
      <c r="G17" s="24"/>
      <c r="J17" s="44">
        <v>76</v>
      </c>
      <c r="K17" s="1" t="s">
        <v>199</v>
      </c>
      <c r="L17" s="4">
        <v>2.0999999999999999E-3</v>
      </c>
      <c r="M17" s="47">
        <v>0.03</v>
      </c>
      <c r="N17" s="9">
        <v>28</v>
      </c>
    </row>
    <row r="18" spans="1:14" x14ac:dyDescent="0.15">
      <c r="A18" s="2"/>
      <c r="B18" s="1" t="s">
        <v>840</v>
      </c>
      <c r="C18" s="12">
        <v>9</v>
      </c>
      <c r="D18" s="3">
        <v>3</v>
      </c>
      <c r="E18" s="12"/>
      <c r="F18" s="12"/>
      <c r="G18" s="24"/>
      <c r="J18" s="44">
        <v>4</v>
      </c>
      <c r="K18" s="1" t="s">
        <v>158</v>
      </c>
      <c r="L18" s="4">
        <v>2.2799999999999999E-3</v>
      </c>
      <c r="M18" s="47">
        <v>9.0000000000000006E-5</v>
      </c>
      <c r="N18" s="9">
        <v>90</v>
      </c>
    </row>
    <row r="19" spans="1:14" x14ac:dyDescent="0.15">
      <c r="A19" s="2"/>
      <c r="B19" s="1" t="s">
        <v>840</v>
      </c>
      <c r="C19" s="12">
        <v>2</v>
      </c>
      <c r="D19" s="3">
        <v>1</v>
      </c>
      <c r="E19" s="12">
        <v>1</v>
      </c>
      <c r="F19" s="12"/>
      <c r="G19" s="24"/>
      <c r="J19" s="44">
        <v>140</v>
      </c>
      <c r="K19" s="1" t="s">
        <v>200</v>
      </c>
      <c r="L19" s="4">
        <v>4.3E-3</v>
      </c>
      <c r="M19" s="47">
        <v>0.03</v>
      </c>
      <c r="N19" s="9">
        <v>28</v>
      </c>
    </row>
    <row r="20" spans="1:14" x14ac:dyDescent="0.15">
      <c r="A20" s="2"/>
      <c r="B20" s="1" t="s">
        <v>840</v>
      </c>
      <c r="C20" s="12">
        <v>2</v>
      </c>
      <c r="D20" s="3">
        <v>1</v>
      </c>
      <c r="E20" s="12"/>
      <c r="F20" s="12"/>
      <c r="G20" s="24"/>
      <c r="J20" s="44">
        <v>137</v>
      </c>
      <c r="K20" s="1" t="s">
        <v>126</v>
      </c>
      <c r="L20" s="4">
        <v>4.9499999999999995E-3</v>
      </c>
      <c r="M20" s="47">
        <v>1.4849242404917501E-3</v>
      </c>
      <c r="N20" s="9" t="s">
        <v>769</v>
      </c>
    </row>
    <row r="21" spans="1:14" x14ac:dyDescent="0.15">
      <c r="A21" s="2"/>
      <c r="B21" s="1" t="s">
        <v>840</v>
      </c>
      <c r="C21" s="12">
        <v>1</v>
      </c>
      <c r="D21" s="3">
        <v>1</v>
      </c>
      <c r="E21" s="12"/>
      <c r="F21" s="12"/>
      <c r="G21" s="24"/>
      <c r="J21" s="44">
        <v>151</v>
      </c>
      <c r="K21" s="1" t="s">
        <v>569</v>
      </c>
      <c r="L21" s="4">
        <v>6.9499999999999996E-3</v>
      </c>
      <c r="M21" s="47">
        <v>1.0606601717798216E-3</v>
      </c>
      <c r="N21" s="9" t="s">
        <v>769</v>
      </c>
    </row>
    <row r="22" spans="1:14" x14ac:dyDescent="0.15">
      <c r="A22" s="2"/>
      <c r="B22" s="1" t="s">
        <v>840</v>
      </c>
      <c r="C22" s="12">
        <v>3</v>
      </c>
      <c r="D22" s="3">
        <v>1</v>
      </c>
      <c r="E22" s="12">
        <v>1</v>
      </c>
      <c r="F22" s="12"/>
      <c r="G22" s="24"/>
      <c r="J22" s="44">
        <v>1</v>
      </c>
      <c r="K22" s="1" t="s">
        <v>520</v>
      </c>
      <c r="L22" s="7">
        <v>1.4E-2</v>
      </c>
      <c r="M22" s="45">
        <v>2E-3</v>
      </c>
      <c r="N22" s="9">
        <v>28</v>
      </c>
    </row>
    <row r="23" spans="1:14" x14ac:dyDescent="0.15">
      <c r="A23" s="2"/>
      <c r="B23" s="1" t="s">
        <v>840</v>
      </c>
      <c r="C23" s="12">
        <v>3</v>
      </c>
      <c r="D23" s="3">
        <v>1</v>
      </c>
      <c r="E23" s="12">
        <v>1</v>
      </c>
      <c r="F23" s="12"/>
      <c r="G23" s="24"/>
      <c r="J23" s="44">
        <v>16</v>
      </c>
      <c r="K23" s="1" t="s">
        <v>522</v>
      </c>
      <c r="L23" s="7">
        <v>1.7999999999999999E-2</v>
      </c>
      <c r="M23" s="45">
        <v>3.0000000000000001E-3</v>
      </c>
      <c r="N23" s="9">
        <v>28</v>
      </c>
    </row>
    <row r="24" spans="1:14" x14ac:dyDescent="0.15">
      <c r="A24" s="2"/>
      <c r="B24" s="1" t="s">
        <v>885</v>
      </c>
      <c r="C24" s="12">
        <v>2</v>
      </c>
      <c r="D24" s="3">
        <v>1</v>
      </c>
      <c r="E24" s="12"/>
      <c r="F24" s="12"/>
      <c r="G24" s="24"/>
      <c r="I24" s="3">
        <v>1</v>
      </c>
      <c r="J24" s="44">
        <v>183</v>
      </c>
      <c r="K24" s="1" t="s">
        <v>128</v>
      </c>
      <c r="L24" s="7">
        <v>2.1299999999999999E-2</v>
      </c>
      <c r="M24" s="46"/>
      <c r="N24" s="9">
        <v>14</v>
      </c>
    </row>
    <row r="25" spans="1:14" x14ac:dyDescent="0.15">
      <c r="A25" s="2"/>
      <c r="B25" s="1" t="s">
        <v>885</v>
      </c>
      <c r="C25" s="12">
        <v>2</v>
      </c>
      <c r="D25" s="3">
        <v>1</v>
      </c>
      <c r="E25" s="12"/>
      <c r="F25" s="12"/>
      <c r="G25" s="24"/>
      <c r="I25" s="3">
        <v>1</v>
      </c>
      <c r="J25" s="44">
        <v>94</v>
      </c>
      <c r="K25" s="1" t="s">
        <v>129</v>
      </c>
      <c r="L25" s="7">
        <v>3.1800000000000002E-2</v>
      </c>
      <c r="M25" s="45"/>
      <c r="N25" s="9">
        <v>14</v>
      </c>
    </row>
    <row r="26" spans="1:14" x14ac:dyDescent="0.15">
      <c r="A26" s="2"/>
      <c r="B26" s="1" t="s">
        <v>886</v>
      </c>
      <c r="C26" s="12">
        <v>1</v>
      </c>
      <c r="D26" s="3">
        <v>0</v>
      </c>
      <c r="E26" s="12"/>
      <c r="F26" s="12"/>
      <c r="G26" s="24"/>
      <c r="H26" s="3">
        <v>1</v>
      </c>
      <c r="J26" s="44">
        <v>90</v>
      </c>
      <c r="K26" s="1" t="s">
        <v>130</v>
      </c>
      <c r="L26" s="6">
        <v>0.33500000000000002</v>
      </c>
      <c r="M26" s="46"/>
      <c r="N26" s="9">
        <v>14</v>
      </c>
    </row>
    <row r="27" spans="1:14" x14ac:dyDescent="0.15">
      <c r="A27" s="2"/>
      <c r="B27" s="1" t="s">
        <v>885</v>
      </c>
      <c r="C27" s="12">
        <v>2</v>
      </c>
      <c r="D27" s="3">
        <v>1</v>
      </c>
      <c r="E27" s="12"/>
      <c r="F27" s="12"/>
      <c r="G27" s="24"/>
      <c r="I27" s="3">
        <v>1</v>
      </c>
      <c r="J27" s="44">
        <v>39</v>
      </c>
      <c r="K27" s="1" t="s">
        <v>558</v>
      </c>
      <c r="L27" s="3">
        <v>2.67</v>
      </c>
      <c r="M27" s="24">
        <v>0.43</v>
      </c>
      <c r="N27" s="9">
        <v>83</v>
      </c>
    </row>
    <row r="28" spans="1:14" x14ac:dyDescent="0.15">
      <c r="A28" s="2" t="s">
        <v>15</v>
      </c>
      <c r="B28" s="1" t="s">
        <v>885</v>
      </c>
      <c r="C28" s="12">
        <v>2</v>
      </c>
      <c r="D28" s="3">
        <v>1</v>
      </c>
      <c r="E28" s="12"/>
      <c r="F28" s="12"/>
      <c r="G28" s="24"/>
      <c r="I28" s="3">
        <v>1</v>
      </c>
      <c r="J28" s="44">
        <v>55</v>
      </c>
      <c r="K28" s="1" t="s">
        <v>557</v>
      </c>
      <c r="L28" s="3">
        <v>8.6300000000000008</v>
      </c>
      <c r="M28" s="24">
        <v>0.57999999999999996</v>
      </c>
      <c r="N28" s="9">
        <v>83</v>
      </c>
    </row>
    <row r="29" spans="1:14" x14ac:dyDescent="0.15">
      <c r="A29" s="2" t="s">
        <v>15</v>
      </c>
      <c r="B29" s="1" t="s">
        <v>885</v>
      </c>
      <c r="C29" s="12">
        <v>3</v>
      </c>
      <c r="D29" s="3">
        <v>1</v>
      </c>
      <c r="E29" s="12"/>
      <c r="F29" s="12"/>
      <c r="G29" s="24"/>
      <c r="I29" s="3">
        <v>1</v>
      </c>
      <c r="J29" s="44">
        <v>42</v>
      </c>
      <c r="K29" s="1" t="s">
        <v>526</v>
      </c>
      <c r="L29" s="8">
        <v>23.1</v>
      </c>
      <c r="M29" s="48">
        <v>1.7</v>
      </c>
      <c r="N29" s="9">
        <v>67</v>
      </c>
    </row>
    <row r="30" spans="1:14" x14ac:dyDescent="0.15">
      <c r="A30" s="2" t="s">
        <v>15</v>
      </c>
      <c r="B30" s="1" t="s">
        <v>885</v>
      </c>
      <c r="C30" s="12">
        <v>2</v>
      </c>
      <c r="D30" s="3">
        <v>1</v>
      </c>
      <c r="E30" s="12"/>
      <c r="F30" s="12"/>
      <c r="G30" s="24"/>
      <c r="I30" s="3">
        <v>1</v>
      </c>
      <c r="J30" s="44">
        <v>61</v>
      </c>
      <c r="K30" s="1" t="s">
        <v>532</v>
      </c>
      <c r="L30" s="8">
        <v>68.95</v>
      </c>
      <c r="M30" s="48">
        <v>7.141778489984131</v>
      </c>
      <c r="N30" s="9" t="s">
        <v>741</v>
      </c>
    </row>
    <row r="31" spans="1:14" x14ac:dyDescent="0.15">
      <c r="A31" s="2" t="s">
        <v>15</v>
      </c>
      <c r="B31" s="1" t="s">
        <v>885</v>
      </c>
      <c r="C31" s="12">
        <v>3</v>
      </c>
      <c r="D31" s="3">
        <v>1</v>
      </c>
      <c r="E31" s="12"/>
      <c r="F31" s="12"/>
      <c r="G31" s="24"/>
      <c r="I31" s="3">
        <v>1</v>
      </c>
      <c r="J31" s="44">
        <v>60</v>
      </c>
      <c r="K31" s="1" t="s">
        <v>529</v>
      </c>
      <c r="L31" s="8">
        <v>82.5</v>
      </c>
      <c r="M31" s="48">
        <v>5.2</v>
      </c>
      <c r="N31" s="9">
        <v>67</v>
      </c>
    </row>
    <row r="32" spans="1:14" x14ac:dyDescent="0.15">
      <c r="A32" s="2" t="s">
        <v>15</v>
      </c>
      <c r="B32" s="1" t="s">
        <v>885</v>
      </c>
      <c r="C32" s="12">
        <v>3</v>
      </c>
      <c r="D32" s="3">
        <v>1</v>
      </c>
      <c r="E32" s="12"/>
      <c r="F32" s="12"/>
      <c r="G32" s="24"/>
      <c r="I32" s="3">
        <v>1</v>
      </c>
      <c r="J32" s="44">
        <v>17</v>
      </c>
      <c r="K32" s="1" t="s">
        <v>523</v>
      </c>
      <c r="L32" s="8">
        <v>85.1</v>
      </c>
      <c r="M32" s="48">
        <v>6.1</v>
      </c>
      <c r="N32" s="9">
        <v>67</v>
      </c>
    </row>
    <row r="33" spans="1:14" x14ac:dyDescent="0.15">
      <c r="A33" s="2" t="s">
        <v>15</v>
      </c>
      <c r="B33" s="1" t="s">
        <v>885</v>
      </c>
      <c r="C33" s="12">
        <v>9</v>
      </c>
      <c r="D33" s="3">
        <v>3</v>
      </c>
      <c r="E33" s="12"/>
      <c r="F33" s="12"/>
      <c r="G33" s="24"/>
      <c r="I33" s="3">
        <v>1</v>
      </c>
      <c r="J33" s="44">
        <v>27</v>
      </c>
      <c r="K33" s="1" t="s">
        <v>555</v>
      </c>
      <c r="L33" s="8">
        <v>88</v>
      </c>
      <c r="M33" s="24">
        <v>5.5</v>
      </c>
      <c r="N33" s="9">
        <v>83</v>
      </c>
    </row>
    <row r="34" spans="1:14" x14ac:dyDescent="0.15">
      <c r="A34" s="2" t="s">
        <v>15</v>
      </c>
      <c r="B34" s="1" t="s">
        <v>885</v>
      </c>
      <c r="C34" s="12">
        <v>4</v>
      </c>
      <c r="D34" s="3">
        <v>2</v>
      </c>
      <c r="E34" s="12"/>
      <c r="F34" s="12"/>
      <c r="G34" s="24"/>
      <c r="I34" s="3">
        <v>1</v>
      </c>
      <c r="J34" s="44">
        <v>74</v>
      </c>
      <c r="K34" s="1" t="s">
        <v>687</v>
      </c>
      <c r="L34" s="5">
        <v>122.2</v>
      </c>
      <c r="M34" s="48"/>
      <c r="N34" s="9">
        <v>48</v>
      </c>
    </row>
    <row r="35" spans="1:14" x14ac:dyDescent="0.15">
      <c r="A35" s="15" t="s">
        <v>16</v>
      </c>
      <c r="B35" s="19" t="s">
        <v>889</v>
      </c>
      <c r="C35" s="71">
        <v>3</v>
      </c>
      <c r="D35" s="16">
        <v>1</v>
      </c>
      <c r="E35" s="71"/>
      <c r="F35" s="71">
        <v>1</v>
      </c>
      <c r="G35" s="76"/>
      <c r="H35" s="16"/>
      <c r="I35" s="16"/>
      <c r="J35" s="77">
        <v>58</v>
      </c>
      <c r="K35" s="19" t="s">
        <v>491</v>
      </c>
      <c r="L35" s="17">
        <v>305.27999999999997</v>
      </c>
      <c r="M35" s="18"/>
      <c r="N35" s="18">
        <v>76</v>
      </c>
    </row>
    <row r="40" spans="1:14" x14ac:dyDescent="0.15">
      <c r="K40" s="14"/>
    </row>
  </sheetData>
  <sortState xmlns:xlrd2="http://schemas.microsoft.com/office/spreadsheetml/2017/richdata2" ref="A10:N35">
    <sortCondition ref="L10:L35"/>
  </sortState>
  <mergeCells count="3">
    <mergeCell ref="E6:I6"/>
    <mergeCell ref="F8:G8"/>
    <mergeCell ref="H8:I8"/>
  </mergeCells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8556-8380-0C44-91D2-BC719947825D}">
  <dimension ref="A1:AE147"/>
  <sheetViews>
    <sheetView zoomScaleNormal="100" workbookViewId="0">
      <pane ySplit="4" topLeftCell="A5" activePane="bottomLeft" state="frozen"/>
      <selection pane="bottomLeft" activeCell="B4" sqref="B4:C4"/>
    </sheetView>
  </sheetViews>
  <sheetFormatPr baseColWidth="10" defaultColWidth="8.83203125" defaultRowHeight="14" x14ac:dyDescent="0.15"/>
  <cols>
    <col min="1" max="1" width="9.1640625" style="1" bestFit="1" customWidth="1"/>
    <col min="2" max="2" width="4.83203125" style="3" bestFit="1" customWidth="1"/>
    <col min="3" max="3" width="5.5" style="3" bestFit="1" customWidth="1"/>
    <col min="4" max="4" width="5.33203125" style="3" bestFit="1" customWidth="1"/>
    <col min="5" max="6" width="7.33203125" style="3" bestFit="1" customWidth="1"/>
    <col min="7" max="7" width="12.5" style="3" bestFit="1" customWidth="1"/>
    <col min="8" max="8" width="5.33203125" style="3" bestFit="1" customWidth="1"/>
    <col min="9" max="9" width="3.83203125" style="3" bestFit="1" customWidth="1"/>
    <col min="10" max="11" width="4.83203125" style="3" bestFit="1" customWidth="1"/>
    <col min="12" max="12" width="5.83203125" style="3" bestFit="1" customWidth="1"/>
    <col min="13" max="13" width="5" style="3" bestFit="1" customWidth="1"/>
    <col min="14" max="14" width="4.83203125" style="3" bestFit="1" customWidth="1"/>
    <col min="15" max="15" width="5.5" style="3" bestFit="1" customWidth="1"/>
    <col min="16" max="16" width="8" style="3" bestFit="1" customWidth="1"/>
    <col min="17" max="17" width="8.1640625" style="3" bestFit="1" customWidth="1"/>
    <col min="18" max="18" width="4.83203125" style="3" bestFit="1" customWidth="1"/>
    <col min="19" max="19" width="5" style="3" bestFit="1" customWidth="1"/>
    <col min="20" max="20" width="6.6640625" style="3" bestFit="1" customWidth="1"/>
    <col min="21" max="21" width="4" style="3" bestFit="1" customWidth="1"/>
    <col min="22" max="22" width="5.5" style="3" bestFit="1" customWidth="1"/>
    <col min="23" max="23" width="8.5" style="3" bestFit="1" customWidth="1"/>
    <col min="24" max="24" width="6.1640625" style="3" bestFit="1" customWidth="1"/>
    <col min="25" max="25" width="38.1640625" style="1" bestFit="1" customWidth="1"/>
    <col min="26" max="26" width="26.6640625" style="3" bestFit="1" customWidth="1"/>
    <col min="27" max="27" width="11.33203125" style="3" bestFit="1" customWidth="1"/>
    <col min="28" max="28" width="8.6640625" style="1" bestFit="1" customWidth="1"/>
    <col min="29" max="29" width="9.6640625" style="3" bestFit="1" customWidth="1"/>
    <col min="30" max="30" width="61" style="1" bestFit="1" customWidth="1"/>
    <col min="31" max="31" width="17" style="5" customWidth="1"/>
    <col min="32" max="32" width="8.83203125" style="1"/>
    <col min="33" max="33" width="9.1640625" style="1" bestFit="1" customWidth="1"/>
    <col min="34" max="34" width="8.83203125" style="1"/>
    <col min="35" max="35" width="9.83203125" style="1" customWidth="1"/>
    <col min="36" max="36" width="12.5" style="1" bestFit="1" customWidth="1"/>
    <col min="37" max="37" width="14.33203125" style="1" bestFit="1" customWidth="1"/>
    <col min="38" max="39" width="8.83203125" style="1"/>
    <col min="40" max="40" width="12.5" style="1" bestFit="1" customWidth="1"/>
    <col min="41" max="41" width="12.33203125" style="1" bestFit="1" customWidth="1"/>
    <col min="42" max="44" width="8.83203125" style="1"/>
    <col min="45" max="45" width="9.1640625" style="1" bestFit="1" customWidth="1"/>
    <col min="46" max="16384" width="8.83203125" style="1"/>
  </cols>
  <sheetData>
    <row r="1" spans="1:31" x14ac:dyDescent="0.15">
      <c r="A1" s="1" t="s">
        <v>901</v>
      </c>
    </row>
    <row r="2" spans="1:31" x14ac:dyDescent="0.15">
      <c r="A2" s="14"/>
      <c r="B2" s="153" t="s">
        <v>714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5"/>
      <c r="X2" s="22"/>
      <c r="Y2" s="14"/>
      <c r="Z2" s="22"/>
      <c r="AA2" s="22"/>
      <c r="AB2" s="14"/>
      <c r="AC2" s="14"/>
      <c r="AD2" s="14"/>
      <c r="AE2" s="25"/>
    </row>
    <row r="3" spans="1:31" ht="28" customHeight="1" x14ac:dyDescent="0.15">
      <c r="A3" s="14"/>
      <c r="B3" s="147" t="s">
        <v>711</v>
      </c>
      <c r="C3" s="149"/>
      <c r="D3" s="147" t="s">
        <v>44</v>
      </c>
      <c r="E3" s="148"/>
      <c r="F3" s="148"/>
      <c r="G3" s="149"/>
      <c r="H3" s="147" t="s">
        <v>710</v>
      </c>
      <c r="I3" s="148"/>
      <c r="J3" s="148"/>
      <c r="K3" s="148"/>
      <c r="L3" s="148"/>
      <c r="M3" s="148"/>
      <c r="N3" s="148"/>
      <c r="O3" s="149"/>
      <c r="P3" s="101"/>
      <c r="Q3" s="163" t="s">
        <v>709</v>
      </c>
      <c r="R3" s="164"/>
      <c r="S3" s="147" t="s">
        <v>708</v>
      </c>
      <c r="T3" s="148"/>
      <c r="U3" s="148"/>
      <c r="V3" s="149"/>
      <c r="W3" s="11"/>
      <c r="X3" s="22"/>
      <c r="Y3" s="10"/>
      <c r="Z3" s="22"/>
      <c r="AA3" s="26"/>
      <c r="AB3" s="147" t="s">
        <v>10</v>
      </c>
      <c r="AC3" s="148"/>
      <c r="AD3" s="149"/>
      <c r="AE3" s="43"/>
    </row>
    <row r="4" spans="1:31" x14ac:dyDescent="0.15">
      <c r="A4" s="10" t="s">
        <v>0</v>
      </c>
      <c r="B4" s="10" t="s">
        <v>35</v>
      </c>
      <c r="C4" s="11" t="s">
        <v>36</v>
      </c>
      <c r="D4" s="14" t="s">
        <v>900</v>
      </c>
      <c r="E4" s="14" t="s">
        <v>15</v>
      </c>
      <c r="F4" s="14" t="s">
        <v>16</v>
      </c>
      <c r="G4" s="11" t="s">
        <v>575</v>
      </c>
      <c r="H4" s="14" t="s">
        <v>900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43</v>
      </c>
      <c r="N4" s="14" t="s">
        <v>41</v>
      </c>
      <c r="O4" s="11" t="s">
        <v>42</v>
      </c>
      <c r="P4" s="11" t="s">
        <v>713</v>
      </c>
      <c r="Q4" s="14" t="s">
        <v>712</v>
      </c>
      <c r="R4" s="11" t="s">
        <v>277</v>
      </c>
      <c r="S4" s="14" t="s">
        <v>32</v>
      </c>
      <c r="T4" s="14" t="s">
        <v>33</v>
      </c>
      <c r="U4" s="14" t="s">
        <v>34</v>
      </c>
      <c r="V4" s="11" t="s">
        <v>31</v>
      </c>
      <c r="W4" s="11" t="s">
        <v>18</v>
      </c>
      <c r="X4" s="22" t="s">
        <v>90</v>
      </c>
      <c r="Y4" s="10" t="s">
        <v>1</v>
      </c>
      <c r="Z4" s="22" t="s">
        <v>2</v>
      </c>
      <c r="AA4" s="22" t="s">
        <v>843</v>
      </c>
      <c r="AB4" s="27" t="s">
        <v>5</v>
      </c>
      <c r="AC4" s="22" t="s">
        <v>9</v>
      </c>
      <c r="AD4" s="26" t="s">
        <v>629</v>
      </c>
      <c r="AE4" s="28" t="s">
        <v>899</v>
      </c>
    </row>
    <row r="5" spans="1:31" x14ac:dyDescent="0.15">
      <c r="A5" s="42" t="s">
        <v>76</v>
      </c>
      <c r="C5" s="24"/>
      <c r="D5" s="3">
        <v>2</v>
      </c>
      <c r="G5" s="24">
        <v>3</v>
      </c>
      <c r="O5" s="24"/>
      <c r="P5" s="24"/>
      <c r="R5" s="24"/>
      <c r="V5" s="24"/>
      <c r="W5" s="24"/>
      <c r="X5" s="3">
        <v>1</v>
      </c>
      <c r="Y5" s="2" t="s">
        <v>520</v>
      </c>
      <c r="Z5" s="7">
        <v>1.4E-2</v>
      </c>
      <c r="AA5" s="45">
        <v>2E-3</v>
      </c>
      <c r="AB5" s="12">
        <v>5.6</v>
      </c>
      <c r="AC5" s="3">
        <v>21</v>
      </c>
      <c r="AD5" s="13" t="s">
        <v>148</v>
      </c>
      <c r="AE5" s="36">
        <v>28</v>
      </c>
    </row>
    <row r="6" spans="1:31" x14ac:dyDescent="0.15">
      <c r="A6" s="42" t="s">
        <v>76</v>
      </c>
      <c r="B6" s="3">
        <v>1</v>
      </c>
      <c r="C6" s="24"/>
      <c r="G6" s="24"/>
      <c r="O6" s="24"/>
      <c r="P6" s="24"/>
      <c r="R6" s="24"/>
      <c r="V6" s="24"/>
      <c r="W6" s="24" t="s">
        <v>108</v>
      </c>
      <c r="X6" s="3">
        <v>2</v>
      </c>
      <c r="Y6" s="2" t="s">
        <v>610</v>
      </c>
      <c r="Z6" s="6">
        <v>2.2400000000000002</v>
      </c>
      <c r="AA6" s="46">
        <v>0.23853720883753129</v>
      </c>
      <c r="AB6" s="12" t="s">
        <v>715</v>
      </c>
      <c r="AC6" s="3">
        <v>21</v>
      </c>
      <c r="AD6" s="13" t="s">
        <v>716</v>
      </c>
      <c r="AE6" s="36" t="s">
        <v>717</v>
      </c>
    </row>
    <row r="7" spans="1:31" x14ac:dyDescent="0.15">
      <c r="A7" s="42" t="s">
        <v>76</v>
      </c>
      <c r="C7" s="24"/>
      <c r="G7" s="24"/>
      <c r="O7" s="24"/>
      <c r="P7" s="24"/>
      <c r="R7" s="24"/>
      <c r="T7" s="3">
        <v>2</v>
      </c>
      <c r="V7" s="24"/>
      <c r="W7" s="24"/>
      <c r="X7" s="3">
        <v>8</v>
      </c>
      <c r="Y7" s="2" t="s">
        <v>230</v>
      </c>
      <c r="Z7" s="4">
        <v>4.1900000000000002E-5</v>
      </c>
      <c r="AA7" s="47"/>
      <c r="AB7" s="29">
        <v>7</v>
      </c>
      <c r="AC7" s="5">
        <v>25</v>
      </c>
      <c r="AD7" s="30" t="s">
        <v>112</v>
      </c>
      <c r="AE7" s="36">
        <v>31</v>
      </c>
    </row>
    <row r="8" spans="1:31" x14ac:dyDescent="0.15">
      <c r="A8" s="42" t="s">
        <v>76</v>
      </c>
      <c r="C8" s="24"/>
      <c r="D8" s="3">
        <v>2</v>
      </c>
      <c r="G8" s="24">
        <v>3</v>
      </c>
      <c r="O8" s="24"/>
      <c r="P8" s="24"/>
      <c r="R8" s="24"/>
      <c r="V8" s="24"/>
      <c r="W8" s="24"/>
      <c r="X8" s="3">
        <v>16</v>
      </c>
      <c r="Y8" s="2" t="s">
        <v>522</v>
      </c>
      <c r="Z8" s="7">
        <v>1.7999999999999999E-2</v>
      </c>
      <c r="AA8" s="45">
        <v>3.0000000000000001E-3</v>
      </c>
      <c r="AB8" s="12">
        <v>5.6</v>
      </c>
      <c r="AC8" s="3">
        <v>21</v>
      </c>
      <c r="AD8" s="13" t="s">
        <v>148</v>
      </c>
      <c r="AE8" s="36">
        <v>28</v>
      </c>
    </row>
    <row r="9" spans="1:31" x14ac:dyDescent="0.15">
      <c r="A9" s="42" t="s">
        <v>76</v>
      </c>
      <c r="C9" s="24"/>
      <c r="D9" s="3">
        <v>1</v>
      </c>
      <c r="E9" s="3">
        <v>1</v>
      </c>
      <c r="G9" s="24">
        <v>3</v>
      </c>
      <c r="O9" s="24"/>
      <c r="P9" s="24"/>
      <c r="R9" s="24"/>
      <c r="V9" s="24"/>
      <c r="W9" s="24"/>
      <c r="X9" s="3">
        <v>17</v>
      </c>
      <c r="Y9" s="2" t="s">
        <v>523</v>
      </c>
      <c r="Z9" s="8">
        <v>85.1</v>
      </c>
      <c r="AA9" s="48">
        <v>6.1</v>
      </c>
      <c r="AB9" s="12">
        <v>7</v>
      </c>
      <c r="AC9" s="3">
        <v>25</v>
      </c>
      <c r="AD9" s="13" t="s">
        <v>452</v>
      </c>
      <c r="AE9" s="36">
        <v>67</v>
      </c>
    </row>
    <row r="10" spans="1:31" x14ac:dyDescent="0.15">
      <c r="A10" s="42" t="s">
        <v>76</v>
      </c>
      <c r="B10" s="3">
        <v>1</v>
      </c>
      <c r="C10" s="24"/>
      <c r="G10" s="24"/>
      <c r="O10" s="24"/>
      <c r="P10" s="24"/>
      <c r="R10" s="24"/>
      <c r="V10" s="24"/>
      <c r="W10" s="24" t="s">
        <v>108</v>
      </c>
      <c r="X10" s="3">
        <v>22</v>
      </c>
      <c r="Y10" s="2" t="s">
        <v>247</v>
      </c>
      <c r="Z10" s="8">
        <v>77</v>
      </c>
      <c r="AA10" s="48">
        <v>5</v>
      </c>
      <c r="AB10" s="29">
        <v>7</v>
      </c>
      <c r="AC10" s="5">
        <v>25</v>
      </c>
      <c r="AD10" s="30" t="s">
        <v>112</v>
      </c>
      <c r="AE10" s="36">
        <v>31</v>
      </c>
    </row>
    <row r="11" spans="1:31" x14ac:dyDescent="0.15">
      <c r="A11" s="42" t="s">
        <v>76</v>
      </c>
      <c r="C11" s="24"/>
      <c r="D11" s="3">
        <v>1</v>
      </c>
      <c r="E11" s="3">
        <v>1</v>
      </c>
      <c r="G11" s="24"/>
      <c r="M11" s="3">
        <v>2</v>
      </c>
      <c r="O11" s="24"/>
      <c r="P11" s="24"/>
      <c r="R11" s="24"/>
      <c r="V11" s="24"/>
      <c r="W11" s="24"/>
      <c r="X11" s="3">
        <v>25</v>
      </c>
      <c r="Y11" s="2" t="s">
        <v>240</v>
      </c>
      <c r="Z11" s="7">
        <v>6.0149999999999995E-2</v>
      </c>
      <c r="AA11" s="45">
        <v>5.8689862838483412E-3</v>
      </c>
      <c r="AB11" s="29">
        <v>7</v>
      </c>
      <c r="AC11" s="5">
        <v>25</v>
      </c>
      <c r="AD11" s="30" t="s">
        <v>112</v>
      </c>
      <c r="AE11" s="36">
        <v>31</v>
      </c>
    </row>
    <row r="12" spans="1:31" x14ac:dyDescent="0.15">
      <c r="A12" s="42" t="s">
        <v>76</v>
      </c>
      <c r="C12" s="24"/>
      <c r="D12" s="3">
        <v>1</v>
      </c>
      <c r="E12" s="3">
        <v>1</v>
      </c>
      <c r="G12" s="24"/>
      <c r="M12" s="3">
        <v>3</v>
      </c>
      <c r="O12" s="24"/>
      <c r="P12" s="24"/>
      <c r="R12" s="24"/>
      <c r="V12" s="24"/>
      <c r="W12" s="24"/>
      <c r="X12" s="3">
        <v>28</v>
      </c>
      <c r="Y12" s="2" t="s">
        <v>519</v>
      </c>
      <c r="Z12" s="4">
        <v>5.6300000000000002E-4</v>
      </c>
      <c r="AA12" s="47"/>
      <c r="AB12" s="29">
        <v>7</v>
      </c>
      <c r="AC12" s="5">
        <v>25</v>
      </c>
      <c r="AD12" s="30" t="s">
        <v>112</v>
      </c>
      <c r="AE12" s="36">
        <v>31</v>
      </c>
    </row>
    <row r="13" spans="1:31" x14ac:dyDescent="0.15">
      <c r="A13" s="42" t="s">
        <v>76</v>
      </c>
      <c r="C13" s="24"/>
      <c r="D13" s="3">
        <v>1</v>
      </c>
      <c r="G13" s="24">
        <v>3</v>
      </c>
      <c r="M13" s="3">
        <v>3</v>
      </c>
      <c r="O13" s="24"/>
      <c r="P13" s="24"/>
      <c r="R13" s="24"/>
      <c r="V13" s="24"/>
      <c r="W13" s="24"/>
      <c r="X13" s="3">
        <v>29</v>
      </c>
      <c r="Y13" s="2" t="s">
        <v>685</v>
      </c>
      <c r="Z13" s="40">
        <v>1.1800000000000001E-3</v>
      </c>
      <c r="AA13" s="47">
        <v>2.0000000000000002E-5</v>
      </c>
      <c r="AB13" s="12">
        <v>7</v>
      </c>
      <c r="AC13" s="3">
        <v>25</v>
      </c>
      <c r="AD13" s="13" t="s">
        <v>63</v>
      </c>
      <c r="AE13" s="44">
        <v>45</v>
      </c>
    </row>
    <row r="14" spans="1:31" x14ac:dyDescent="0.15">
      <c r="A14" s="42" t="s">
        <v>76</v>
      </c>
      <c r="C14" s="24"/>
      <c r="D14" s="3">
        <v>1</v>
      </c>
      <c r="E14" s="3">
        <v>1</v>
      </c>
      <c r="G14" s="24">
        <v>3</v>
      </c>
      <c r="O14" s="24"/>
      <c r="P14" s="24"/>
      <c r="R14" s="24"/>
      <c r="V14" s="24"/>
      <c r="W14" s="24"/>
      <c r="X14" s="3">
        <v>42</v>
      </c>
      <c r="Y14" s="2" t="s">
        <v>526</v>
      </c>
      <c r="Z14" s="8">
        <v>23.1</v>
      </c>
      <c r="AA14" s="48">
        <v>1.7</v>
      </c>
      <c r="AB14" s="12">
        <v>7</v>
      </c>
      <c r="AC14" s="3">
        <v>25</v>
      </c>
      <c r="AD14" s="13" t="s">
        <v>452</v>
      </c>
      <c r="AE14" s="36">
        <v>67</v>
      </c>
    </row>
    <row r="15" spans="1:31" x14ac:dyDescent="0.15">
      <c r="A15" s="42" t="s">
        <v>76</v>
      </c>
      <c r="C15" s="24"/>
      <c r="D15" s="3">
        <v>1</v>
      </c>
      <c r="E15" s="3">
        <v>1</v>
      </c>
      <c r="G15" s="24">
        <v>3</v>
      </c>
      <c r="O15" s="24"/>
      <c r="P15" s="24"/>
      <c r="R15" s="24"/>
      <c r="V15" s="24"/>
      <c r="W15" s="24"/>
      <c r="X15" s="3">
        <v>60</v>
      </c>
      <c r="Y15" s="2" t="s">
        <v>529</v>
      </c>
      <c r="Z15" s="8">
        <v>82.5</v>
      </c>
      <c r="AA15" s="48">
        <v>5.2</v>
      </c>
      <c r="AB15" s="12">
        <v>7</v>
      </c>
      <c r="AC15" s="3">
        <v>25</v>
      </c>
      <c r="AD15" s="13" t="s">
        <v>452</v>
      </c>
      <c r="AE15" s="36">
        <v>67</v>
      </c>
    </row>
    <row r="16" spans="1:31" x14ac:dyDescent="0.15">
      <c r="A16" s="42" t="s">
        <v>76</v>
      </c>
      <c r="C16" s="24"/>
      <c r="D16" s="3">
        <v>1</v>
      </c>
      <c r="G16" s="24">
        <v>3</v>
      </c>
      <c r="M16" s="3">
        <v>1</v>
      </c>
      <c r="O16" s="24"/>
      <c r="P16" s="24"/>
      <c r="R16" s="24"/>
      <c r="V16" s="24"/>
      <c r="W16" s="24"/>
      <c r="X16" s="3">
        <v>65</v>
      </c>
      <c r="Y16" s="2" t="s">
        <v>440</v>
      </c>
      <c r="Z16" s="4">
        <v>1.5555555555555554E-4</v>
      </c>
      <c r="AA16" s="47">
        <v>1.1111111111111108E-5</v>
      </c>
      <c r="AB16" s="12">
        <v>7.2</v>
      </c>
      <c r="AC16" s="3" t="s">
        <v>75</v>
      </c>
      <c r="AD16" s="13" t="s">
        <v>612</v>
      </c>
      <c r="AE16" s="36">
        <v>64</v>
      </c>
    </row>
    <row r="17" spans="1:31" x14ac:dyDescent="0.15">
      <c r="A17" s="42" t="s">
        <v>76</v>
      </c>
      <c r="C17" s="24"/>
      <c r="D17" s="3">
        <v>1</v>
      </c>
      <c r="E17" s="3">
        <v>1</v>
      </c>
      <c r="G17" s="24">
        <v>4</v>
      </c>
      <c r="O17" s="24"/>
      <c r="P17" s="24"/>
      <c r="R17" s="24"/>
      <c r="V17" s="24"/>
      <c r="W17" s="24"/>
      <c r="X17" s="3">
        <v>74</v>
      </c>
      <c r="Y17" s="2" t="s">
        <v>687</v>
      </c>
      <c r="Z17" s="8">
        <v>122.2</v>
      </c>
      <c r="AA17" s="48"/>
      <c r="AB17" s="12">
        <v>7</v>
      </c>
      <c r="AC17" s="3">
        <v>25</v>
      </c>
      <c r="AD17" s="13" t="s">
        <v>355</v>
      </c>
      <c r="AE17" s="36">
        <v>48</v>
      </c>
    </row>
    <row r="18" spans="1:31" x14ac:dyDescent="0.15">
      <c r="A18" s="42" t="s">
        <v>76</v>
      </c>
      <c r="C18" s="24"/>
      <c r="D18" s="3">
        <v>2</v>
      </c>
      <c r="G18" s="24">
        <v>4</v>
      </c>
      <c r="O18" s="24"/>
      <c r="P18" s="24"/>
      <c r="R18" s="24"/>
      <c r="V18" s="24"/>
      <c r="W18" s="24"/>
      <c r="X18" s="3">
        <v>76</v>
      </c>
      <c r="Y18" s="2" t="s">
        <v>199</v>
      </c>
      <c r="Z18" s="4">
        <v>2.0999999999999999E-3</v>
      </c>
      <c r="AA18" s="47">
        <v>0.03</v>
      </c>
      <c r="AB18" s="12">
        <v>5.6</v>
      </c>
      <c r="AC18" s="3">
        <v>21</v>
      </c>
      <c r="AD18" s="13" t="s">
        <v>148</v>
      </c>
      <c r="AE18" s="36">
        <v>28</v>
      </c>
    </row>
    <row r="19" spans="1:31" x14ac:dyDescent="0.15">
      <c r="A19" s="42" t="s">
        <v>76</v>
      </c>
      <c r="C19" s="24"/>
      <c r="G19" s="24"/>
      <c r="O19" s="24"/>
      <c r="P19" s="24"/>
      <c r="R19" s="24"/>
      <c r="S19" s="3">
        <v>1</v>
      </c>
      <c r="V19" s="24"/>
      <c r="W19" s="24"/>
      <c r="X19" s="3">
        <v>79</v>
      </c>
      <c r="Y19" s="2" t="s">
        <v>21</v>
      </c>
      <c r="Z19" s="4">
        <v>1.2999999999999999E-3</v>
      </c>
      <c r="AA19" s="47"/>
      <c r="AB19" s="12">
        <v>4.8</v>
      </c>
      <c r="AC19" s="3">
        <v>25</v>
      </c>
      <c r="AD19" s="13" t="s">
        <v>668</v>
      </c>
      <c r="AE19" s="36">
        <v>19</v>
      </c>
    </row>
    <row r="20" spans="1:31" x14ac:dyDescent="0.15">
      <c r="A20" s="42" t="s">
        <v>76</v>
      </c>
      <c r="C20" s="24"/>
      <c r="D20" s="3">
        <v>1</v>
      </c>
      <c r="G20" s="24"/>
      <c r="O20" s="24"/>
      <c r="P20" s="24"/>
      <c r="R20" s="24"/>
      <c r="V20" s="24"/>
      <c r="W20" s="24"/>
      <c r="X20" s="3">
        <v>91</v>
      </c>
      <c r="Y20" s="2" t="s">
        <v>157</v>
      </c>
      <c r="Z20" s="4">
        <v>6.9999999999999999E-6</v>
      </c>
      <c r="AA20" s="47">
        <v>4.2E-7</v>
      </c>
      <c r="AB20" s="12" t="s">
        <v>664</v>
      </c>
      <c r="AC20" s="3">
        <v>70</v>
      </c>
      <c r="AD20" s="13" t="s">
        <v>160</v>
      </c>
      <c r="AE20" s="36">
        <v>20</v>
      </c>
    </row>
    <row r="21" spans="1:31" x14ac:dyDescent="0.15">
      <c r="A21" s="42" t="s">
        <v>76</v>
      </c>
      <c r="C21" s="24"/>
      <c r="D21" s="3">
        <v>2</v>
      </c>
      <c r="G21" s="24"/>
      <c r="O21" s="24"/>
      <c r="P21" s="24"/>
      <c r="R21" s="24"/>
      <c r="V21" s="24"/>
      <c r="W21" s="24"/>
      <c r="X21" s="3">
        <v>95</v>
      </c>
      <c r="Y21" s="2" t="s">
        <v>203</v>
      </c>
      <c r="Z21" s="3" t="s">
        <v>214</v>
      </c>
      <c r="AA21" s="24"/>
      <c r="AB21" s="12">
        <v>5.6</v>
      </c>
      <c r="AC21" s="3">
        <v>21</v>
      </c>
      <c r="AD21" s="13" t="s">
        <v>148</v>
      </c>
      <c r="AE21" s="36">
        <v>28</v>
      </c>
    </row>
    <row r="22" spans="1:31" x14ac:dyDescent="0.15">
      <c r="A22" s="42" t="s">
        <v>76</v>
      </c>
      <c r="C22" s="24"/>
      <c r="G22" s="24"/>
      <c r="O22" s="24"/>
      <c r="P22" s="24"/>
      <c r="R22" s="24"/>
      <c r="S22" s="3">
        <v>1</v>
      </c>
      <c r="V22" s="24"/>
      <c r="W22" s="24"/>
      <c r="X22" s="3">
        <v>101</v>
      </c>
      <c r="Y22" s="2" t="s">
        <v>233</v>
      </c>
      <c r="Z22" s="4">
        <v>1.7534999999999999E-3</v>
      </c>
      <c r="AA22" s="47">
        <v>1.1971317805488249E-3</v>
      </c>
      <c r="AB22" s="29" t="s">
        <v>747</v>
      </c>
      <c r="AC22" s="5">
        <v>25</v>
      </c>
      <c r="AD22" s="30" t="s">
        <v>748</v>
      </c>
      <c r="AE22" s="36" t="s">
        <v>749</v>
      </c>
    </row>
    <row r="23" spans="1:31" x14ac:dyDescent="0.15">
      <c r="A23" s="42" t="s">
        <v>76</v>
      </c>
      <c r="C23" s="24"/>
      <c r="D23" s="3">
        <v>2</v>
      </c>
      <c r="G23" s="24"/>
      <c r="J23" s="3">
        <v>2</v>
      </c>
      <c r="O23" s="24"/>
      <c r="P23" s="24"/>
      <c r="R23" s="24"/>
      <c r="V23" s="24"/>
      <c r="W23" s="24"/>
      <c r="X23" s="3">
        <v>106</v>
      </c>
      <c r="Y23" s="2" t="s">
        <v>201</v>
      </c>
      <c r="Z23" s="4">
        <v>4.4000000000000003E-3</v>
      </c>
      <c r="AA23" s="47">
        <v>0.08</v>
      </c>
      <c r="AB23" s="12">
        <v>5.6</v>
      </c>
      <c r="AC23" s="3">
        <v>21</v>
      </c>
      <c r="AD23" s="13" t="s">
        <v>148</v>
      </c>
      <c r="AE23" s="36">
        <v>28</v>
      </c>
    </row>
    <row r="24" spans="1:31" x14ac:dyDescent="0.15">
      <c r="A24" s="42" t="s">
        <v>76</v>
      </c>
      <c r="C24" s="24"/>
      <c r="G24" s="24"/>
      <c r="O24" s="24"/>
      <c r="P24" s="24"/>
      <c r="R24" s="24"/>
      <c r="V24" s="24"/>
      <c r="W24" s="24" t="s">
        <v>140</v>
      </c>
      <c r="X24" s="3">
        <v>109</v>
      </c>
      <c r="Y24" s="2" t="s">
        <v>224</v>
      </c>
      <c r="Z24" s="4">
        <v>1.3200000000000001E-4</v>
      </c>
      <c r="AA24" s="47"/>
      <c r="AB24" s="12">
        <v>7</v>
      </c>
      <c r="AC24" s="3">
        <v>25</v>
      </c>
      <c r="AD24" s="13" t="s">
        <v>227</v>
      </c>
      <c r="AE24" s="36">
        <v>31</v>
      </c>
    </row>
    <row r="25" spans="1:31" x14ac:dyDescent="0.15">
      <c r="A25" s="42" t="s">
        <v>76</v>
      </c>
      <c r="C25" s="24"/>
      <c r="D25" s="3">
        <v>4</v>
      </c>
      <c r="G25" s="24"/>
      <c r="O25" s="24"/>
      <c r="P25" s="24"/>
      <c r="R25" s="24"/>
      <c r="V25" s="24"/>
      <c r="W25" s="24"/>
      <c r="X25" s="3">
        <v>113</v>
      </c>
      <c r="Y25" s="2" t="s">
        <v>195</v>
      </c>
      <c r="Z25" s="7">
        <v>1.2E-2</v>
      </c>
      <c r="AA25" s="45">
        <v>0.01</v>
      </c>
      <c r="AB25" s="12">
        <v>5.6</v>
      </c>
      <c r="AC25" s="3">
        <v>21</v>
      </c>
      <c r="AD25" s="13" t="s">
        <v>148</v>
      </c>
      <c r="AE25" s="36">
        <v>28</v>
      </c>
    </row>
    <row r="26" spans="1:31" x14ac:dyDescent="0.15">
      <c r="A26" s="42" t="s">
        <v>76</v>
      </c>
      <c r="B26" s="3">
        <v>1</v>
      </c>
      <c r="C26" s="24"/>
      <c r="G26" s="24"/>
      <c r="O26" s="24"/>
      <c r="P26" s="24"/>
      <c r="R26" s="24"/>
      <c r="V26" s="24"/>
      <c r="W26" s="24" t="s">
        <v>108</v>
      </c>
      <c r="X26" s="3">
        <v>116</v>
      </c>
      <c r="Y26" s="2" t="s">
        <v>609</v>
      </c>
      <c r="Z26" s="6">
        <v>1.0714729729729728</v>
      </c>
      <c r="AA26" s="46">
        <v>0.34589645021768073</v>
      </c>
      <c r="AB26" s="29" t="s">
        <v>757</v>
      </c>
      <c r="AC26" s="5" t="s">
        <v>756</v>
      </c>
      <c r="AD26" s="30" t="s">
        <v>754</v>
      </c>
      <c r="AE26" s="36" t="s">
        <v>755</v>
      </c>
    </row>
    <row r="27" spans="1:31" x14ac:dyDescent="0.15">
      <c r="A27" s="42" t="s">
        <v>76</v>
      </c>
      <c r="C27" s="24"/>
      <c r="D27" s="3">
        <v>2</v>
      </c>
      <c r="G27" s="24"/>
      <c r="O27" s="24"/>
      <c r="P27" s="24"/>
      <c r="R27" s="24"/>
      <c r="T27" s="3">
        <v>1</v>
      </c>
      <c r="V27" s="24"/>
      <c r="W27" s="24"/>
      <c r="X27" s="3">
        <v>123</v>
      </c>
      <c r="Y27" s="2" t="s">
        <v>204</v>
      </c>
      <c r="Z27" s="3" t="s">
        <v>214</v>
      </c>
      <c r="AA27" s="24"/>
      <c r="AB27" s="12">
        <v>5.6</v>
      </c>
      <c r="AC27" s="3">
        <v>21</v>
      </c>
      <c r="AD27" s="13" t="s">
        <v>148</v>
      </c>
      <c r="AE27" s="36">
        <v>28</v>
      </c>
    </row>
    <row r="28" spans="1:31" x14ac:dyDescent="0.15">
      <c r="A28" s="42" t="s">
        <v>76</v>
      </c>
      <c r="C28" s="24"/>
      <c r="G28" s="24"/>
      <c r="O28" s="24"/>
      <c r="P28" s="24"/>
      <c r="R28" s="24"/>
      <c r="T28" s="3">
        <v>1</v>
      </c>
      <c r="V28" s="24"/>
      <c r="W28" s="24"/>
      <c r="X28" s="3">
        <v>131</v>
      </c>
      <c r="Y28" s="2" t="s">
        <v>70</v>
      </c>
      <c r="Z28" s="4">
        <v>3.0899999999999999E-5</v>
      </c>
      <c r="AA28" s="47"/>
      <c r="AB28" s="12">
        <v>4.5999999999999996</v>
      </c>
      <c r="AC28" s="3">
        <v>20</v>
      </c>
      <c r="AD28" s="13" t="s">
        <v>66</v>
      </c>
      <c r="AE28" s="36">
        <v>3</v>
      </c>
    </row>
    <row r="29" spans="1:31" x14ac:dyDescent="0.15">
      <c r="A29" s="42" t="s">
        <v>76</v>
      </c>
      <c r="C29" s="24"/>
      <c r="G29" s="24"/>
      <c r="O29" s="24"/>
      <c r="P29" s="24"/>
      <c r="R29" s="24"/>
      <c r="U29" s="3">
        <v>1</v>
      </c>
      <c r="V29" s="24"/>
      <c r="W29" s="24"/>
      <c r="X29" s="3">
        <v>136</v>
      </c>
      <c r="Y29" s="2" t="s">
        <v>69</v>
      </c>
      <c r="Z29" s="4">
        <v>1.16E-3</v>
      </c>
      <c r="AA29" s="47">
        <v>7.2124891681027859E-4</v>
      </c>
      <c r="AB29" s="12" t="s">
        <v>765</v>
      </c>
      <c r="AC29" s="3">
        <v>21</v>
      </c>
      <c r="AD29" s="13" t="s">
        <v>766</v>
      </c>
      <c r="AE29" s="36" t="s">
        <v>767</v>
      </c>
    </row>
    <row r="30" spans="1:31" x14ac:dyDescent="0.15">
      <c r="A30" s="42" t="s">
        <v>76</v>
      </c>
      <c r="C30" s="24"/>
      <c r="D30" s="3">
        <v>3</v>
      </c>
      <c r="G30" s="24"/>
      <c r="O30" s="24"/>
      <c r="P30" s="24"/>
      <c r="R30" s="24"/>
      <c r="V30" s="24"/>
      <c r="W30" s="24"/>
      <c r="X30" s="3">
        <v>139</v>
      </c>
      <c r="Y30" s="2" t="s">
        <v>208</v>
      </c>
      <c r="Z30" s="6">
        <v>0.9</v>
      </c>
      <c r="AA30" s="46">
        <v>0.3</v>
      </c>
      <c r="AB30" s="12">
        <v>5.6</v>
      </c>
      <c r="AC30" s="3">
        <v>21</v>
      </c>
      <c r="AD30" s="13" t="s">
        <v>148</v>
      </c>
      <c r="AE30" s="36">
        <v>28</v>
      </c>
    </row>
    <row r="31" spans="1:31" x14ac:dyDescent="0.15">
      <c r="A31" s="42" t="s">
        <v>76</v>
      </c>
      <c r="C31" s="24"/>
      <c r="D31" s="3">
        <v>2</v>
      </c>
      <c r="G31" s="24">
        <v>2</v>
      </c>
      <c r="O31" s="24"/>
      <c r="P31" s="24"/>
      <c r="R31" s="24"/>
      <c r="V31" s="24"/>
      <c r="W31" s="24"/>
      <c r="X31" s="3">
        <v>140</v>
      </c>
      <c r="Y31" s="2" t="s">
        <v>200</v>
      </c>
      <c r="Z31" s="4">
        <v>4.3E-3</v>
      </c>
      <c r="AA31" s="47">
        <v>0.03</v>
      </c>
      <c r="AB31" s="12">
        <v>5.6</v>
      </c>
      <c r="AC31" s="3">
        <v>21</v>
      </c>
      <c r="AD31" s="13" t="s">
        <v>148</v>
      </c>
      <c r="AE31" s="36">
        <v>28</v>
      </c>
    </row>
    <row r="32" spans="1:31" x14ac:dyDescent="0.15">
      <c r="A32" s="42" t="s">
        <v>76</v>
      </c>
      <c r="C32" s="24"/>
      <c r="D32" s="3">
        <v>1</v>
      </c>
      <c r="G32" s="24">
        <v>1</v>
      </c>
      <c r="O32" s="24"/>
      <c r="P32" s="24"/>
      <c r="R32" s="24"/>
      <c r="V32" s="24"/>
      <c r="W32" s="24"/>
      <c r="X32" s="3">
        <v>151</v>
      </c>
      <c r="Y32" s="2" t="s">
        <v>569</v>
      </c>
      <c r="Z32" s="4">
        <v>6.9499999999999996E-3</v>
      </c>
      <c r="AA32" s="47">
        <v>1.0606601717798216E-3</v>
      </c>
      <c r="AB32" s="12" t="s">
        <v>768</v>
      </c>
      <c r="AC32" s="3" t="s">
        <v>763</v>
      </c>
      <c r="AD32" s="13" t="s">
        <v>754</v>
      </c>
      <c r="AE32" s="36" t="s">
        <v>769</v>
      </c>
    </row>
    <row r="33" spans="1:31" x14ac:dyDescent="0.15">
      <c r="A33" s="42" t="s">
        <v>76</v>
      </c>
      <c r="C33" s="24"/>
      <c r="G33" s="24"/>
      <c r="O33" s="24"/>
      <c r="P33" s="24"/>
      <c r="R33" s="24"/>
      <c r="U33" s="3">
        <v>1</v>
      </c>
      <c r="V33" s="24"/>
      <c r="W33" s="24"/>
      <c r="X33" s="3">
        <v>159</v>
      </c>
      <c r="Y33" s="2" t="s">
        <v>71</v>
      </c>
      <c r="Z33" s="4">
        <v>4.46E-5</v>
      </c>
      <c r="AA33" s="47"/>
      <c r="AB33" s="12">
        <v>4.5999999999999996</v>
      </c>
      <c r="AC33" s="3">
        <v>20</v>
      </c>
      <c r="AD33" s="13" t="s">
        <v>66</v>
      </c>
      <c r="AE33" s="36">
        <v>3</v>
      </c>
    </row>
    <row r="34" spans="1:31" x14ac:dyDescent="0.15">
      <c r="A34" s="42" t="s">
        <v>76</v>
      </c>
      <c r="C34" s="24"/>
      <c r="G34" s="24"/>
      <c r="O34" s="24"/>
      <c r="P34" s="24"/>
      <c r="R34" s="24"/>
      <c r="T34" s="3">
        <v>1</v>
      </c>
      <c r="V34" s="24"/>
      <c r="W34" s="24"/>
      <c r="X34" s="3">
        <v>161</v>
      </c>
      <c r="Y34" s="2" t="s">
        <v>168</v>
      </c>
      <c r="Z34" s="4">
        <v>6.8053888888888894E-5</v>
      </c>
      <c r="AA34" s="47">
        <v>4.6946390551377521E-5</v>
      </c>
      <c r="AB34" s="29" t="s">
        <v>771</v>
      </c>
      <c r="AC34" s="5" t="s">
        <v>727</v>
      </c>
      <c r="AD34" s="30" t="s">
        <v>760</v>
      </c>
      <c r="AE34" s="36" t="s">
        <v>772</v>
      </c>
    </row>
    <row r="35" spans="1:31" x14ac:dyDescent="0.15">
      <c r="A35" s="42" t="s">
        <v>76</v>
      </c>
      <c r="C35" s="24"/>
      <c r="D35" s="3">
        <v>2</v>
      </c>
      <c r="G35" s="24"/>
      <c r="O35" s="24"/>
      <c r="P35" s="24"/>
      <c r="R35" s="24"/>
      <c r="V35" s="24"/>
      <c r="W35" s="24"/>
      <c r="X35" s="3">
        <v>174</v>
      </c>
      <c r="Y35" s="2" t="s">
        <v>196</v>
      </c>
      <c r="Z35" s="7">
        <v>1.0999999999999999E-2</v>
      </c>
      <c r="AA35" s="45">
        <v>2E-3</v>
      </c>
      <c r="AB35" s="12">
        <v>5.6</v>
      </c>
      <c r="AC35" s="3">
        <v>21</v>
      </c>
      <c r="AD35" s="13" t="s">
        <v>148</v>
      </c>
      <c r="AE35" s="36">
        <v>28</v>
      </c>
    </row>
    <row r="36" spans="1:31" x14ac:dyDescent="0.15">
      <c r="A36" s="42" t="s">
        <v>76</v>
      </c>
      <c r="C36" s="24"/>
      <c r="D36" s="3">
        <v>1</v>
      </c>
      <c r="E36" s="3">
        <v>1</v>
      </c>
      <c r="G36" s="24"/>
      <c r="O36" s="24"/>
      <c r="P36" s="24"/>
      <c r="R36" s="24"/>
      <c r="V36" s="24"/>
      <c r="W36" s="24" t="s">
        <v>369</v>
      </c>
      <c r="X36" s="3">
        <v>180</v>
      </c>
      <c r="Y36" s="2" t="s">
        <v>366</v>
      </c>
      <c r="Z36" s="8">
        <v>30</v>
      </c>
      <c r="AA36" s="48"/>
      <c r="AB36" s="12">
        <v>7</v>
      </c>
      <c r="AC36" s="3">
        <v>21</v>
      </c>
      <c r="AD36" s="13" t="s">
        <v>457</v>
      </c>
      <c r="AE36" s="36">
        <v>68</v>
      </c>
    </row>
    <row r="37" spans="1:31" x14ac:dyDescent="0.15">
      <c r="A37" s="42" t="s">
        <v>76</v>
      </c>
      <c r="C37" s="24"/>
      <c r="D37" s="3">
        <v>3</v>
      </c>
      <c r="G37" s="24"/>
      <c r="O37" s="24"/>
      <c r="P37" s="24"/>
      <c r="R37" s="24"/>
      <c r="V37" s="24"/>
      <c r="W37" s="24"/>
      <c r="X37" s="3">
        <v>182</v>
      </c>
      <c r="Y37" s="2" t="s">
        <v>197</v>
      </c>
      <c r="Z37" s="4">
        <v>4.1999999999999997E-3</v>
      </c>
      <c r="AA37" s="47">
        <v>0.03</v>
      </c>
      <c r="AB37" s="12">
        <v>5.6</v>
      </c>
      <c r="AC37" s="3">
        <v>21</v>
      </c>
      <c r="AD37" s="13" t="s">
        <v>148</v>
      </c>
      <c r="AE37" s="36">
        <v>28</v>
      </c>
    </row>
    <row r="38" spans="1:31" x14ac:dyDescent="0.15">
      <c r="A38" s="42" t="s">
        <v>76</v>
      </c>
      <c r="C38" s="24"/>
      <c r="D38" s="3">
        <v>1</v>
      </c>
      <c r="E38" s="3">
        <v>1</v>
      </c>
      <c r="G38" s="24"/>
      <c r="O38" s="24"/>
      <c r="P38" s="24"/>
      <c r="R38" s="24"/>
      <c r="V38" s="24"/>
      <c r="W38" s="24"/>
      <c r="X38" s="3">
        <v>184</v>
      </c>
      <c r="Y38" s="2" t="s">
        <v>15</v>
      </c>
      <c r="Z38" s="6">
        <v>5.4620000000000006</v>
      </c>
      <c r="AA38" s="46">
        <v>0.97356047577949312</v>
      </c>
      <c r="AB38" s="12">
        <v>7</v>
      </c>
      <c r="AC38" s="5" t="s">
        <v>722</v>
      </c>
      <c r="AD38" s="13" t="s">
        <v>782</v>
      </c>
      <c r="AE38" s="36" t="s">
        <v>784</v>
      </c>
    </row>
    <row r="39" spans="1:31" x14ac:dyDescent="0.15">
      <c r="A39" s="42" t="s">
        <v>76</v>
      </c>
      <c r="C39" s="24"/>
      <c r="D39" s="3">
        <v>4</v>
      </c>
      <c r="G39" s="24"/>
      <c r="O39" s="24"/>
      <c r="P39" s="24"/>
      <c r="R39" s="24"/>
      <c r="V39" s="24"/>
      <c r="W39" s="24"/>
      <c r="X39" s="3">
        <v>192</v>
      </c>
      <c r="Y39" s="2" t="s">
        <v>198</v>
      </c>
      <c r="Z39" s="6">
        <v>1.7</v>
      </c>
      <c r="AA39" s="46">
        <v>0.6</v>
      </c>
      <c r="AB39" s="12">
        <v>5.6</v>
      </c>
      <c r="AC39" s="3">
        <v>21</v>
      </c>
      <c r="AD39" s="13" t="s">
        <v>148</v>
      </c>
      <c r="AE39" s="36">
        <v>28</v>
      </c>
    </row>
    <row r="40" spans="1:31" x14ac:dyDescent="0.15">
      <c r="A40" s="42" t="s">
        <v>76</v>
      </c>
      <c r="C40" s="24"/>
      <c r="G40" s="24"/>
      <c r="O40" s="24"/>
      <c r="P40" s="24"/>
      <c r="R40" s="24"/>
      <c r="T40" s="3">
        <v>1</v>
      </c>
      <c r="V40" s="24"/>
      <c r="W40" s="24"/>
      <c r="X40" s="3">
        <v>203</v>
      </c>
      <c r="Y40" s="2" t="s">
        <v>237</v>
      </c>
      <c r="Z40" s="4">
        <v>3.3299999999999996E-4</v>
      </c>
      <c r="AA40" s="47">
        <v>7.7781745930520239E-5</v>
      </c>
      <c r="AB40" s="29">
        <v>7</v>
      </c>
      <c r="AC40" s="5">
        <v>25</v>
      </c>
      <c r="AD40" s="30" t="s">
        <v>227</v>
      </c>
      <c r="AE40" s="36">
        <v>31</v>
      </c>
    </row>
    <row r="41" spans="1:31" x14ac:dyDescent="0.15">
      <c r="A41" s="42" t="s">
        <v>76</v>
      </c>
      <c r="C41" s="24"/>
      <c r="D41" s="3">
        <v>1</v>
      </c>
      <c r="G41" s="24"/>
      <c r="O41" s="24"/>
      <c r="P41" s="24"/>
      <c r="R41" s="24"/>
      <c r="V41" s="24"/>
      <c r="W41" s="24"/>
      <c r="X41" s="3">
        <v>204</v>
      </c>
      <c r="Y41" s="2" t="s">
        <v>202</v>
      </c>
      <c r="Z41" s="3" t="s">
        <v>215</v>
      </c>
      <c r="AA41" s="24"/>
      <c r="AB41" s="12">
        <v>5.6</v>
      </c>
      <c r="AC41" s="3">
        <v>21</v>
      </c>
      <c r="AD41" s="13" t="s">
        <v>148</v>
      </c>
      <c r="AE41" s="36">
        <v>28</v>
      </c>
    </row>
    <row r="42" spans="1:31" x14ac:dyDescent="0.15">
      <c r="A42" s="42" t="s">
        <v>76</v>
      </c>
      <c r="B42" s="3">
        <v>1</v>
      </c>
      <c r="C42" s="24"/>
      <c r="G42" s="24"/>
      <c r="O42" s="24"/>
      <c r="P42" s="24"/>
      <c r="R42" s="24"/>
      <c r="V42" s="24"/>
      <c r="W42" s="24" t="s">
        <v>139</v>
      </c>
      <c r="X42" s="3">
        <v>206</v>
      </c>
      <c r="Y42" s="2" t="s">
        <v>608</v>
      </c>
      <c r="Z42" s="7">
        <v>4.0451248097412483E-2</v>
      </c>
      <c r="AA42" s="45">
        <v>1.6465451099705243E-2</v>
      </c>
      <c r="AB42" s="2" t="s">
        <v>757</v>
      </c>
      <c r="AC42" s="3" t="s">
        <v>756</v>
      </c>
      <c r="AD42" s="13" t="s">
        <v>754</v>
      </c>
      <c r="AE42" s="36" t="s">
        <v>785</v>
      </c>
    </row>
    <row r="43" spans="1:31" x14ac:dyDescent="0.15">
      <c r="A43" s="42" t="s">
        <v>76</v>
      </c>
      <c r="C43" s="24"/>
      <c r="D43" s="3">
        <v>1</v>
      </c>
      <c r="G43" s="24">
        <v>3</v>
      </c>
      <c r="O43" s="24"/>
      <c r="P43" s="24"/>
      <c r="R43" s="24"/>
      <c r="V43" s="24"/>
      <c r="W43" s="24"/>
      <c r="X43" s="3">
        <v>208</v>
      </c>
      <c r="Y43" s="2" t="s">
        <v>122</v>
      </c>
      <c r="Z43" s="4">
        <v>4.5199999999999998E-4</v>
      </c>
      <c r="AA43" s="47">
        <v>2.7626074639731208E-4</v>
      </c>
      <c r="AB43" s="12" t="s">
        <v>786</v>
      </c>
      <c r="AC43" s="3" t="s">
        <v>756</v>
      </c>
      <c r="AD43" s="13" t="s">
        <v>787</v>
      </c>
      <c r="AE43" s="36" t="s">
        <v>788</v>
      </c>
    </row>
    <row r="44" spans="1:31" x14ac:dyDescent="0.15">
      <c r="A44" s="42" t="s">
        <v>76</v>
      </c>
      <c r="B44" s="3">
        <v>1</v>
      </c>
      <c r="C44" s="24"/>
      <c r="G44" s="24"/>
      <c r="O44" s="24"/>
      <c r="P44" s="24"/>
      <c r="R44" s="24"/>
      <c r="V44" s="24"/>
      <c r="W44" s="24" t="s">
        <v>108</v>
      </c>
      <c r="X44" s="3">
        <v>209</v>
      </c>
      <c r="Y44" s="2" t="s">
        <v>611</v>
      </c>
      <c r="Z44" s="8">
        <v>39.199999999999996</v>
      </c>
      <c r="AA44" s="48">
        <v>9.301612763386812</v>
      </c>
      <c r="AB44" s="29" t="s">
        <v>715</v>
      </c>
      <c r="AC44" s="5" t="s">
        <v>756</v>
      </c>
      <c r="AD44" s="30" t="s">
        <v>760</v>
      </c>
      <c r="AE44" s="36" t="s">
        <v>789</v>
      </c>
    </row>
    <row r="45" spans="1:31" x14ac:dyDescent="0.15">
      <c r="A45" s="42" t="s">
        <v>76</v>
      </c>
      <c r="B45" s="3">
        <v>1</v>
      </c>
      <c r="C45" s="24"/>
      <c r="G45" s="24"/>
      <c r="O45" s="24"/>
      <c r="P45" s="24"/>
      <c r="R45" s="24"/>
      <c r="V45" s="24"/>
      <c r="W45" s="24" t="s">
        <v>140</v>
      </c>
      <c r="X45" s="3">
        <v>210</v>
      </c>
      <c r="Y45" s="2" t="s">
        <v>607</v>
      </c>
      <c r="Z45" s="6">
        <v>0.77514951199338289</v>
      </c>
      <c r="AA45" s="46">
        <v>9.5593490628428909E-2</v>
      </c>
      <c r="AB45" s="12" t="s">
        <v>145</v>
      </c>
      <c r="AC45" s="3" t="s">
        <v>756</v>
      </c>
      <c r="AD45" s="13" t="s">
        <v>754</v>
      </c>
      <c r="AE45" s="36" t="s">
        <v>790</v>
      </c>
    </row>
    <row r="46" spans="1:31" x14ac:dyDescent="0.15">
      <c r="A46" s="42" t="s">
        <v>76</v>
      </c>
      <c r="C46" s="24"/>
      <c r="G46" s="24"/>
      <c r="I46" s="3">
        <v>1</v>
      </c>
      <c r="O46" s="24"/>
      <c r="P46" s="24"/>
      <c r="R46" s="24"/>
      <c r="S46" s="3">
        <v>1</v>
      </c>
      <c r="T46" s="3">
        <v>1</v>
      </c>
      <c r="V46" s="24"/>
      <c r="W46" s="24"/>
      <c r="X46" s="3">
        <v>215</v>
      </c>
      <c r="Y46" s="2" t="s">
        <v>478</v>
      </c>
      <c r="Z46" s="3" t="s">
        <v>479</v>
      </c>
      <c r="AA46" s="24"/>
      <c r="AB46" s="12">
        <v>5.6</v>
      </c>
      <c r="AC46" s="3">
        <v>23</v>
      </c>
      <c r="AD46" s="13" t="s">
        <v>148</v>
      </c>
      <c r="AE46" s="36">
        <v>73</v>
      </c>
    </row>
    <row r="47" spans="1:31" x14ac:dyDescent="0.15">
      <c r="A47" s="42" t="s">
        <v>30</v>
      </c>
      <c r="C47" s="24"/>
      <c r="D47" s="3">
        <v>1</v>
      </c>
      <c r="G47" s="24">
        <v>6</v>
      </c>
      <c r="O47" s="24"/>
      <c r="P47" s="24"/>
      <c r="R47" s="24"/>
      <c r="V47" s="24"/>
      <c r="W47" s="24"/>
      <c r="X47" s="3">
        <v>3</v>
      </c>
      <c r="Y47" s="2" t="s">
        <v>516</v>
      </c>
      <c r="Z47" s="4">
        <v>8.8999999999999995E-4</v>
      </c>
      <c r="AA47" s="47">
        <v>3.0000000000000001E-5</v>
      </c>
      <c r="AB47" s="12" t="s">
        <v>664</v>
      </c>
      <c r="AC47" s="3">
        <v>20</v>
      </c>
      <c r="AD47" s="13" t="s">
        <v>160</v>
      </c>
      <c r="AE47" s="36">
        <v>90</v>
      </c>
    </row>
    <row r="48" spans="1:31" x14ac:dyDescent="0.15">
      <c r="A48" s="42" t="s">
        <v>30</v>
      </c>
      <c r="C48" s="24"/>
      <c r="D48" s="3">
        <v>1</v>
      </c>
      <c r="G48" s="24">
        <v>9</v>
      </c>
      <c r="O48" s="24"/>
      <c r="P48" s="24"/>
      <c r="R48" s="24"/>
      <c r="V48" s="24"/>
      <c r="W48" s="24"/>
      <c r="X48" s="3">
        <v>4</v>
      </c>
      <c r="Y48" s="2" t="s">
        <v>158</v>
      </c>
      <c r="Z48" s="4">
        <v>2.2799999999999999E-3</v>
      </c>
      <c r="AA48" s="47">
        <v>9.0000000000000006E-5</v>
      </c>
      <c r="AB48" s="12" t="s">
        <v>664</v>
      </c>
      <c r="AC48" s="3">
        <v>20</v>
      </c>
      <c r="AD48" s="13" t="s">
        <v>160</v>
      </c>
      <c r="AE48" s="36">
        <v>90</v>
      </c>
    </row>
    <row r="49" spans="1:31" x14ac:dyDescent="0.15">
      <c r="A49" s="42" t="s">
        <v>30</v>
      </c>
      <c r="C49" s="24"/>
      <c r="D49" s="3">
        <v>1</v>
      </c>
      <c r="G49" s="24">
        <v>6</v>
      </c>
      <c r="O49" s="24"/>
      <c r="P49" s="24"/>
      <c r="R49" s="24"/>
      <c r="V49" s="24"/>
      <c r="W49" s="24"/>
      <c r="X49" s="3">
        <v>5</v>
      </c>
      <c r="Y49" s="2" t="s">
        <v>517</v>
      </c>
      <c r="Z49" s="4">
        <v>5.9999999999999995E-4</v>
      </c>
      <c r="AA49" s="47">
        <v>3.0000000000000001E-5</v>
      </c>
      <c r="AB49" s="12" t="s">
        <v>664</v>
      </c>
      <c r="AC49" s="3">
        <v>20</v>
      </c>
      <c r="AD49" s="13" t="s">
        <v>160</v>
      </c>
      <c r="AE49" s="36">
        <v>90</v>
      </c>
    </row>
    <row r="50" spans="1:31" x14ac:dyDescent="0.15">
      <c r="A50" s="42" t="s">
        <v>30</v>
      </c>
      <c r="C50" s="24"/>
      <c r="D50" s="3">
        <v>1</v>
      </c>
      <c r="G50" s="24">
        <v>9</v>
      </c>
      <c r="O50" s="24"/>
      <c r="P50" s="24"/>
      <c r="R50" s="24"/>
      <c r="V50" s="24"/>
      <c r="W50" s="24"/>
      <c r="X50" s="3">
        <v>6</v>
      </c>
      <c r="Y50" s="2" t="s">
        <v>159</v>
      </c>
      <c r="Z50" s="4">
        <v>1.01E-3</v>
      </c>
      <c r="AA50" s="47">
        <v>4.0000000000000003E-5</v>
      </c>
      <c r="AB50" s="12" t="s">
        <v>664</v>
      </c>
      <c r="AC50" s="3">
        <v>20</v>
      </c>
      <c r="AD50" s="13" t="s">
        <v>160</v>
      </c>
      <c r="AE50" s="36">
        <v>90</v>
      </c>
    </row>
    <row r="51" spans="1:31" x14ac:dyDescent="0.15">
      <c r="A51" s="42" t="s">
        <v>30</v>
      </c>
      <c r="C51" s="24"/>
      <c r="D51" s="3">
        <v>1</v>
      </c>
      <c r="G51" s="24">
        <v>6</v>
      </c>
      <c r="O51" s="24"/>
      <c r="P51" s="24"/>
      <c r="R51" s="24"/>
      <c r="V51" s="24"/>
      <c r="W51" s="24"/>
      <c r="X51" s="3">
        <v>7</v>
      </c>
      <c r="Y51" s="2" t="s">
        <v>518</v>
      </c>
      <c r="Z51" s="4">
        <v>1.15E-3</v>
      </c>
      <c r="AA51" s="47">
        <v>5.0000000000000002E-5</v>
      </c>
      <c r="AB51" s="12" t="s">
        <v>664</v>
      </c>
      <c r="AC51" s="3">
        <v>20</v>
      </c>
      <c r="AD51" s="13" t="s">
        <v>160</v>
      </c>
      <c r="AE51" s="36">
        <v>90</v>
      </c>
    </row>
    <row r="52" spans="1:31" x14ac:dyDescent="0.15">
      <c r="A52" s="42" t="s">
        <v>30</v>
      </c>
      <c r="C52" s="24"/>
      <c r="D52" s="3">
        <v>1</v>
      </c>
      <c r="G52" s="24"/>
      <c r="H52" s="3">
        <v>1</v>
      </c>
      <c r="I52" s="3">
        <v>1</v>
      </c>
      <c r="J52" s="3">
        <v>1</v>
      </c>
      <c r="K52" s="3">
        <v>1</v>
      </c>
      <c r="N52" s="3">
        <v>1</v>
      </c>
      <c r="O52" s="24"/>
      <c r="P52" s="24"/>
      <c r="R52" s="24"/>
      <c r="V52" s="24"/>
      <c r="W52" s="24"/>
      <c r="X52" s="3">
        <v>10</v>
      </c>
      <c r="Y52" s="2" t="s">
        <v>521</v>
      </c>
      <c r="Z52" s="6">
        <v>1.1000000000000001</v>
      </c>
      <c r="AA52" s="46">
        <v>0.1</v>
      </c>
      <c r="AB52" s="12">
        <v>5.6</v>
      </c>
      <c r="AC52" s="3">
        <v>23</v>
      </c>
      <c r="AD52" s="13" t="s">
        <v>148</v>
      </c>
      <c r="AE52" s="36">
        <v>73</v>
      </c>
    </row>
    <row r="53" spans="1:31" x14ac:dyDescent="0.15">
      <c r="A53" s="42" t="s">
        <v>30</v>
      </c>
      <c r="C53" s="24"/>
      <c r="D53" s="3">
        <v>1</v>
      </c>
      <c r="F53" s="3">
        <v>1</v>
      </c>
      <c r="G53" s="24"/>
      <c r="I53" s="3">
        <v>1</v>
      </c>
      <c r="O53" s="24"/>
      <c r="P53" s="24"/>
      <c r="R53" s="24"/>
      <c r="V53" s="24"/>
      <c r="W53" s="24" t="s">
        <v>61</v>
      </c>
      <c r="X53" s="3">
        <v>11</v>
      </c>
      <c r="Y53" s="2" t="s">
        <v>494</v>
      </c>
      <c r="Z53" s="6">
        <v>0.76</v>
      </c>
      <c r="AA53" s="46"/>
      <c r="AB53" s="12">
        <v>7</v>
      </c>
      <c r="AC53" s="3">
        <v>25</v>
      </c>
      <c r="AD53" s="13" t="s">
        <v>401</v>
      </c>
      <c r="AE53" s="36">
        <v>76</v>
      </c>
    </row>
    <row r="54" spans="1:31" x14ac:dyDescent="0.15">
      <c r="A54" s="42" t="s">
        <v>30</v>
      </c>
      <c r="C54" s="24"/>
      <c r="D54" s="3">
        <v>1</v>
      </c>
      <c r="E54" s="3">
        <v>1</v>
      </c>
      <c r="G54" s="24"/>
      <c r="O54" s="24"/>
      <c r="P54" s="24"/>
      <c r="R54" s="24"/>
      <c r="V54" s="24"/>
      <c r="W54" s="24" t="s">
        <v>61</v>
      </c>
      <c r="X54" s="3">
        <v>12</v>
      </c>
      <c r="Y54" s="2" t="s">
        <v>396</v>
      </c>
      <c r="Z54" s="8">
        <v>30</v>
      </c>
      <c r="AA54" s="46">
        <v>9.8994949366116654</v>
      </c>
      <c r="AB54" s="12">
        <v>7</v>
      </c>
      <c r="AC54" s="3">
        <v>25</v>
      </c>
      <c r="AD54" s="13" t="s">
        <v>718</v>
      </c>
      <c r="AE54" s="36" t="s">
        <v>719</v>
      </c>
    </row>
    <row r="55" spans="1:31" x14ac:dyDescent="0.15">
      <c r="A55" s="42" t="s">
        <v>30</v>
      </c>
      <c r="C55" s="24"/>
      <c r="D55" s="3">
        <v>1</v>
      </c>
      <c r="F55" s="3">
        <v>1</v>
      </c>
      <c r="G55" s="24"/>
      <c r="I55" s="3">
        <v>1</v>
      </c>
      <c r="O55" s="24"/>
      <c r="P55" s="24"/>
      <c r="R55" s="24"/>
      <c r="V55" s="24"/>
      <c r="W55" s="24" t="s">
        <v>62</v>
      </c>
      <c r="X55" s="3">
        <v>13</v>
      </c>
      <c r="Y55" s="2" t="s">
        <v>490</v>
      </c>
      <c r="Z55" s="6">
        <v>0.67</v>
      </c>
      <c r="AA55" s="46"/>
      <c r="AB55" s="12">
        <v>7</v>
      </c>
      <c r="AC55" s="3">
        <v>25</v>
      </c>
      <c r="AD55" s="13" t="s">
        <v>401</v>
      </c>
      <c r="AE55" s="36">
        <v>76</v>
      </c>
    </row>
    <row r="56" spans="1:31" x14ac:dyDescent="0.15">
      <c r="A56" s="42" t="s">
        <v>30</v>
      </c>
      <c r="C56" s="24"/>
      <c r="D56" s="3">
        <v>1</v>
      </c>
      <c r="E56" s="3">
        <v>1</v>
      </c>
      <c r="G56" s="24"/>
      <c r="O56" s="24"/>
      <c r="P56" s="24"/>
      <c r="R56" s="24"/>
      <c r="V56" s="24"/>
      <c r="W56" s="24" t="s">
        <v>62</v>
      </c>
      <c r="X56" s="3">
        <v>14</v>
      </c>
      <c r="Y56" s="2" t="s">
        <v>249</v>
      </c>
      <c r="Z56" s="8">
        <v>17.96</v>
      </c>
      <c r="AA56" s="48">
        <v>5.4763856693991135</v>
      </c>
      <c r="AB56" s="12" t="s">
        <v>721</v>
      </c>
      <c r="AC56" s="3" t="s">
        <v>722</v>
      </c>
      <c r="AD56" s="13" t="s">
        <v>148</v>
      </c>
      <c r="AE56" s="36" t="s">
        <v>720</v>
      </c>
    </row>
    <row r="57" spans="1:31" x14ac:dyDescent="0.15">
      <c r="A57" s="42" t="s">
        <v>30</v>
      </c>
      <c r="C57" s="24"/>
      <c r="G57" s="24"/>
      <c r="O57" s="24"/>
      <c r="P57" s="24"/>
      <c r="R57" s="24"/>
      <c r="T57" s="3">
        <v>1</v>
      </c>
      <c r="U57" s="3">
        <v>1</v>
      </c>
      <c r="V57" s="24"/>
      <c r="W57" s="24"/>
      <c r="X57" s="3">
        <v>15</v>
      </c>
      <c r="Y57" s="2" t="s">
        <v>72</v>
      </c>
      <c r="Z57" s="4">
        <v>3.9100000000000002E-4</v>
      </c>
      <c r="AA57" s="47"/>
      <c r="AB57" s="12">
        <v>4.5999999999999996</v>
      </c>
      <c r="AC57" s="3">
        <v>20</v>
      </c>
      <c r="AD57" s="13" t="s">
        <v>66</v>
      </c>
      <c r="AE57" s="36">
        <v>3</v>
      </c>
    </row>
    <row r="58" spans="1:31" x14ac:dyDescent="0.15">
      <c r="A58" s="42" t="s">
        <v>30</v>
      </c>
      <c r="C58" s="24"/>
      <c r="D58" s="3">
        <v>1</v>
      </c>
      <c r="F58" s="3">
        <v>1</v>
      </c>
      <c r="G58" s="24"/>
      <c r="I58" s="3">
        <v>1</v>
      </c>
      <c r="M58" s="3">
        <v>1</v>
      </c>
      <c r="O58" s="24"/>
      <c r="P58" s="24"/>
      <c r="R58" s="24"/>
      <c r="V58" s="24"/>
      <c r="W58" s="24"/>
      <c r="X58" s="3">
        <v>18</v>
      </c>
      <c r="Y58" s="2" t="s">
        <v>524</v>
      </c>
      <c r="Z58" s="7">
        <v>3.4599999999999999E-2</v>
      </c>
      <c r="AA58" s="45"/>
      <c r="AB58" s="12">
        <v>6.8</v>
      </c>
      <c r="AC58" s="3">
        <v>35</v>
      </c>
      <c r="AD58" s="13" t="s">
        <v>652</v>
      </c>
      <c r="AE58" s="36">
        <v>8</v>
      </c>
    </row>
    <row r="59" spans="1:31" x14ac:dyDescent="0.15">
      <c r="A59" s="42" t="s">
        <v>30</v>
      </c>
      <c r="C59" s="24"/>
      <c r="D59" s="3">
        <v>1</v>
      </c>
      <c r="E59" s="3">
        <v>1</v>
      </c>
      <c r="G59" s="24"/>
      <c r="M59" s="3">
        <v>1</v>
      </c>
      <c r="O59" s="24"/>
      <c r="P59" s="24"/>
      <c r="R59" s="24"/>
      <c r="V59" s="24"/>
      <c r="W59" s="24"/>
      <c r="X59" s="3">
        <v>19</v>
      </c>
      <c r="Y59" s="2" t="s">
        <v>525</v>
      </c>
      <c r="Z59" s="6">
        <v>0.27400000000000002</v>
      </c>
      <c r="AA59" s="46">
        <v>4.3840620433565396E-2</v>
      </c>
      <c r="AB59" s="29" t="s">
        <v>723</v>
      </c>
      <c r="AC59" s="5" t="s">
        <v>724</v>
      </c>
      <c r="AD59" s="30" t="s">
        <v>725</v>
      </c>
      <c r="AE59" s="36" t="s">
        <v>726</v>
      </c>
    </row>
    <row r="60" spans="1:31" x14ac:dyDescent="0.15">
      <c r="A60" s="42" t="s">
        <v>30</v>
      </c>
      <c r="B60" s="3">
        <v>1</v>
      </c>
      <c r="C60" s="24"/>
      <c r="G60" s="24"/>
      <c r="O60" s="24"/>
      <c r="P60" s="24"/>
      <c r="R60" s="24"/>
      <c r="V60" s="24">
        <v>1</v>
      </c>
      <c r="W60" s="24"/>
      <c r="X60" s="3">
        <v>20</v>
      </c>
      <c r="Y60" s="2" t="s">
        <v>638</v>
      </c>
      <c r="Z60" s="5">
        <v>242</v>
      </c>
      <c r="AA60" s="9">
        <v>12</v>
      </c>
      <c r="AB60" s="12">
        <v>13</v>
      </c>
      <c r="AC60" s="3">
        <v>25</v>
      </c>
      <c r="AD60" s="13" t="s">
        <v>47</v>
      </c>
      <c r="AE60" s="36">
        <v>2</v>
      </c>
    </row>
    <row r="61" spans="1:31" x14ac:dyDescent="0.15">
      <c r="A61" s="42" t="s">
        <v>30</v>
      </c>
      <c r="C61" s="24"/>
      <c r="D61" s="3">
        <v>1</v>
      </c>
      <c r="E61" s="3">
        <v>1</v>
      </c>
      <c r="G61" s="24"/>
      <c r="O61" s="24"/>
      <c r="P61" s="24"/>
      <c r="R61" s="24"/>
      <c r="V61" s="24"/>
      <c r="W61" s="24" t="s">
        <v>108</v>
      </c>
      <c r="X61" s="3">
        <v>21</v>
      </c>
      <c r="Y61" s="2" t="s">
        <v>365</v>
      </c>
      <c r="Z61" s="6">
        <v>9.43</v>
      </c>
      <c r="AA61" s="46"/>
      <c r="AB61" s="12">
        <v>7</v>
      </c>
      <c r="AC61" s="3">
        <v>25</v>
      </c>
      <c r="AD61" s="13" t="s">
        <v>368</v>
      </c>
      <c r="AE61" s="36">
        <v>47</v>
      </c>
    </row>
    <row r="62" spans="1:31" x14ac:dyDescent="0.15">
      <c r="A62" s="42" t="s">
        <v>30</v>
      </c>
      <c r="C62" s="24"/>
      <c r="D62" s="3">
        <v>1</v>
      </c>
      <c r="E62" s="3">
        <v>1</v>
      </c>
      <c r="G62" s="24"/>
      <c r="O62" s="24"/>
      <c r="P62" s="24"/>
      <c r="R62" s="24"/>
      <c r="V62" s="24"/>
      <c r="W62" s="24" t="s">
        <v>109</v>
      </c>
      <c r="X62" s="3">
        <v>23</v>
      </c>
      <c r="Y62" s="2" t="s">
        <v>399</v>
      </c>
      <c r="Z62" s="8">
        <v>17</v>
      </c>
      <c r="AA62" s="9">
        <v>4</v>
      </c>
      <c r="AB62" s="12">
        <v>7</v>
      </c>
      <c r="AC62" s="3">
        <v>25</v>
      </c>
      <c r="AD62" s="13" t="s">
        <v>401</v>
      </c>
      <c r="AE62" s="36">
        <v>54</v>
      </c>
    </row>
    <row r="63" spans="1:31" x14ac:dyDescent="0.15">
      <c r="A63" s="42" t="s">
        <v>30</v>
      </c>
      <c r="C63" s="24"/>
      <c r="D63" s="3">
        <v>1</v>
      </c>
      <c r="E63" s="3">
        <v>1</v>
      </c>
      <c r="G63" s="24"/>
      <c r="O63" s="24"/>
      <c r="P63" s="24"/>
      <c r="R63" s="24"/>
      <c r="V63" s="24"/>
      <c r="W63" s="24" t="s">
        <v>108</v>
      </c>
      <c r="X63" s="3">
        <v>24</v>
      </c>
      <c r="Y63" s="2" t="s">
        <v>180</v>
      </c>
      <c r="Z63" s="8">
        <v>18.899999999999999</v>
      </c>
      <c r="AA63" s="48">
        <v>0.28284271247462051</v>
      </c>
      <c r="AB63" s="12">
        <v>7</v>
      </c>
      <c r="AC63" s="3" t="s">
        <v>727</v>
      </c>
      <c r="AD63" s="13" t="s">
        <v>728</v>
      </c>
      <c r="AE63" s="36" t="s">
        <v>729</v>
      </c>
    </row>
    <row r="64" spans="1:31" x14ac:dyDescent="0.15">
      <c r="A64" s="42" t="s">
        <v>30</v>
      </c>
      <c r="C64" s="24"/>
      <c r="D64" s="3">
        <v>1</v>
      </c>
      <c r="E64" s="3">
        <v>1</v>
      </c>
      <c r="G64" s="24"/>
      <c r="O64" s="24"/>
      <c r="P64" s="24"/>
      <c r="R64" s="24"/>
      <c r="V64" s="24"/>
      <c r="W64" s="24" t="s">
        <v>140</v>
      </c>
      <c r="X64" s="3">
        <v>26</v>
      </c>
      <c r="Y64" s="2" t="s">
        <v>254</v>
      </c>
      <c r="Z64" s="8">
        <v>14.47</v>
      </c>
      <c r="AA64" s="48"/>
      <c r="AB64" s="12">
        <v>7</v>
      </c>
      <c r="AC64" s="3">
        <v>25</v>
      </c>
      <c r="AD64" s="13" t="s">
        <v>368</v>
      </c>
      <c r="AE64" s="36">
        <v>47</v>
      </c>
    </row>
    <row r="65" spans="1:31" x14ac:dyDescent="0.15">
      <c r="A65" s="42" t="s">
        <v>30</v>
      </c>
      <c r="C65" s="24"/>
      <c r="D65" s="3">
        <v>1</v>
      </c>
      <c r="E65" s="3">
        <v>1</v>
      </c>
      <c r="G65" s="24">
        <v>9</v>
      </c>
      <c r="O65" s="24"/>
      <c r="P65" s="24"/>
      <c r="R65" s="24"/>
      <c r="V65" s="24"/>
      <c r="W65" s="24"/>
      <c r="X65" s="3">
        <v>27</v>
      </c>
      <c r="Y65" s="2" t="s">
        <v>555</v>
      </c>
      <c r="Z65" s="3">
        <v>88</v>
      </c>
      <c r="AA65" s="24">
        <v>5.5</v>
      </c>
      <c r="AB65" s="12">
        <v>5.3</v>
      </c>
      <c r="AC65" s="5">
        <v>23</v>
      </c>
      <c r="AD65" s="13" t="s">
        <v>148</v>
      </c>
      <c r="AE65" s="36">
        <v>83</v>
      </c>
    </row>
    <row r="66" spans="1:31" x14ac:dyDescent="0.15">
      <c r="A66" s="42" t="s">
        <v>30</v>
      </c>
      <c r="C66" s="24"/>
      <c r="D66" s="3">
        <v>1</v>
      </c>
      <c r="E66" s="3">
        <v>1</v>
      </c>
      <c r="G66" s="24"/>
      <c r="O66" s="24"/>
      <c r="P66" s="24"/>
      <c r="R66" s="24"/>
      <c r="V66" s="24"/>
      <c r="W66" s="24" t="s">
        <v>109</v>
      </c>
      <c r="X66" s="3">
        <v>30</v>
      </c>
      <c r="Y66" s="2" t="s">
        <v>400</v>
      </c>
      <c r="Z66" s="8">
        <v>49</v>
      </c>
      <c r="AA66" s="9">
        <v>4</v>
      </c>
      <c r="AB66" s="12">
        <v>7</v>
      </c>
      <c r="AC66" s="3">
        <v>25</v>
      </c>
      <c r="AD66" s="13" t="s">
        <v>401</v>
      </c>
      <c r="AE66" s="36">
        <v>54</v>
      </c>
    </row>
    <row r="67" spans="1:31" x14ac:dyDescent="0.15">
      <c r="A67" s="42" t="s">
        <v>30</v>
      </c>
      <c r="C67" s="24"/>
      <c r="D67" s="3">
        <v>1</v>
      </c>
      <c r="E67" s="3">
        <v>1</v>
      </c>
      <c r="G67" s="24"/>
      <c r="O67" s="24"/>
      <c r="P67" s="24"/>
      <c r="R67" s="24"/>
      <c r="V67" s="24"/>
      <c r="W67" s="24" t="s">
        <v>108</v>
      </c>
      <c r="X67" s="3">
        <v>31</v>
      </c>
      <c r="Y67" s="2" t="s">
        <v>181</v>
      </c>
      <c r="Z67" s="5">
        <v>37.832499999999996</v>
      </c>
      <c r="AA67" s="9">
        <v>8.2554716703529696</v>
      </c>
      <c r="AB67" s="2" t="s">
        <v>730</v>
      </c>
      <c r="AC67" s="3" t="s">
        <v>731</v>
      </c>
      <c r="AD67" s="13" t="s">
        <v>728</v>
      </c>
      <c r="AE67" s="36" t="s">
        <v>732</v>
      </c>
    </row>
    <row r="68" spans="1:31" x14ac:dyDescent="0.15">
      <c r="A68" s="42" t="s">
        <v>30</v>
      </c>
      <c r="C68" s="24"/>
      <c r="D68" s="3">
        <v>1</v>
      </c>
      <c r="E68" s="3">
        <v>1</v>
      </c>
      <c r="F68" s="3">
        <v>1</v>
      </c>
      <c r="G68" s="24"/>
      <c r="I68" s="3">
        <v>1</v>
      </c>
      <c r="O68" s="24"/>
      <c r="P68" s="24"/>
      <c r="R68" s="24"/>
      <c r="V68" s="24"/>
      <c r="W68" s="24"/>
      <c r="X68" s="3">
        <v>32</v>
      </c>
      <c r="Y68" s="2" t="s">
        <v>556</v>
      </c>
      <c r="Z68" s="3">
        <v>399</v>
      </c>
      <c r="AA68" s="24">
        <v>58</v>
      </c>
      <c r="AB68" s="12">
        <v>5.3</v>
      </c>
      <c r="AC68" s="5">
        <v>23</v>
      </c>
      <c r="AD68" s="13" t="s">
        <v>148</v>
      </c>
      <c r="AE68" s="36">
        <v>83</v>
      </c>
    </row>
    <row r="69" spans="1:31" x14ac:dyDescent="0.15">
      <c r="A69" s="42" t="s">
        <v>30</v>
      </c>
      <c r="C69" s="24"/>
      <c r="D69" s="3">
        <v>1</v>
      </c>
      <c r="F69" s="3">
        <v>1</v>
      </c>
      <c r="G69" s="24"/>
      <c r="I69" s="3">
        <v>1</v>
      </c>
      <c r="O69" s="24"/>
      <c r="P69" s="24"/>
      <c r="R69" s="24"/>
      <c r="V69" s="24"/>
      <c r="W69" s="24" t="s">
        <v>61</v>
      </c>
      <c r="X69" s="3">
        <v>33</v>
      </c>
      <c r="Y69" s="2" t="s">
        <v>495</v>
      </c>
      <c r="Z69" s="6">
        <v>1.57</v>
      </c>
      <c r="AA69" s="46"/>
      <c r="AB69" s="12">
        <v>7</v>
      </c>
      <c r="AC69" s="3">
        <v>25</v>
      </c>
      <c r="AD69" s="13" t="s">
        <v>401</v>
      </c>
      <c r="AE69" s="36">
        <v>76</v>
      </c>
    </row>
    <row r="70" spans="1:31" x14ac:dyDescent="0.15">
      <c r="A70" s="42" t="s">
        <v>30</v>
      </c>
      <c r="B70" s="3">
        <v>1</v>
      </c>
      <c r="C70" s="24"/>
      <c r="D70" s="3">
        <v>1</v>
      </c>
      <c r="G70" s="24">
        <v>1</v>
      </c>
      <c r="O70" s="24"/>
      <c r="P70" s="24"/>
      <c r="R70" s="24"/>
      <c r="V70" s="24">
        <v>1</v>
      </c>
      <c r="W70" s="24" t="s">
        <v>61</v>
      </c>
      <c r="X70" s="3">
        <v>34</v>
      </c>
      <c r="Y70" s="2" t="s">
        <v>736</v>
      </c>
      <c r="Z70" s="5">
        <v>684</v>
      </c>
      <c r="AA70" s="9">
        <v>2</v>
      </c>
      <c r="AB70" s="12">
        <v>13.7</v>
      </c>
      <c r="AC70" s="3">
        <v>15</v>
      </c>
      <c r="AD70" s="13" t="s">
        <v>118</v>
      </c>
      <c r="AE70" s="36">
        <v>12</v>
      </c>
    </row>
    <row r="71" spans="1:31" x14ac:dyDescent="0.15">
      <c r="A71" s="42" t="s">
        <v>30</v>
      </c>
      <c r="C71" s="24"/>
      <c r="D71" s="3">
        <v>1</v>
      </c>
      <c r="E71" s="3">
        <v>1</v>
      </c>
      <c r="G71" s="24"/>
      <c r="O71" s="24"/>
      <c r="P71" s="24"/>
      <c r="R71" s="24"/>
      <c r="V71" s="24"/>
      <c r="W71" s="24" t="s">
        <v>61</v>
      </c>
      <c r="X71" s="3">
        <v>35</v>
      </c>
      <c r="Y71" s="2" t="s">
        <v>397</v>
      </c>
      <c r="Z71" s="6">
        <v>2.2000000000000002</v>
      </c>
      <c r="AA71" s="46">
        <v>1.1313708498984749</v>
      </c>
      <c r="AB71" s="12">
        <v>7</v>
      </c>
      <c r="AC71" s="3">
        <v>25</v>
      </c>
      <c r="AD71" s="13" t="s">
        <v>718</v>
      </c>
      <c r="AE71" s="36" t="s">
        <v>719</v>
      </c>
    </row>
    <row r="72" spans="1:31" x14ac:dyDescent="0.15">
      <c r="A72" s="42" t="s">
        <v>30</v>
      </c>
      <c r="C72" s="24"/>
      <c r="D72" s="3">
        <v>1</v>
      </c>
      <c r="F72" s="3">
        <v>1</v>
      </c>
      <c r="G72" s="24"/>
      <c r="I72" s="3">
        <v>1</v>
      </c>
      <c r="O72" s="24"/>
      <c r="P72" s="24"/>
      <c r="R72" s="24"/>
      <c r="V72" s="24"/>
      <c r="W72" s="24" t="s">
        <v>62</v>
      </c>
      <c r="X72" s="3">
        <v>36</v>
      </c>
      <c r="Y72" s="2" t="s">
        <v>492</v>
      </c>
      <c r="Z72" s="6">
        <v>0.72</v>
      </c>
      <c r="AA72" s="46"/>
      <c r="AB72" s="12">
        <v>7</v>
      </c>
      <c r="AC72" s="3">
        <v>25</v>
      </c>
      <c r="AD72" s="13" t="s">
        <v>401</v>
      </c>
      <c r="AE72" s="36">
        <v>76</v>
      </c>
    </row>
    <row r="73" spans="1:31" x14ac:dyDescent="0.15">
      <c r="A73" s="42" t="s">
        <v>30</v>
      </c>
      <c r="B73" s="3">
        <v>1</v>
      </c>
      <c r="C73" s="24"/>
      <c r="D73" s="3">
        <v>1</v>
      </c>
      <c r="G73" s="24">
        <v>1</v>
      </c>
      <c r="O73" s="24"/>
      <c r="P73" s="24"/>
      <c r="R73" s="24"/>
      <c r="V73" s="24">
        <v>1</v>
      </c>
      <c r="W73" s="24" t="s">
        <v>62</v>
      </c>
      <c r="X73" s="3">
        <v>37</v>
      </c>
      <c r="Y73" s="2" t="s">
        <v>735</v>
      </c>
      <c r="Z73" s="5">
        <v>855</v>
      </c>
      <c r="AA73" s="9">
        <v>4</v>
      </c>
      <c r="AB73" s="12">
        <v>11.3</v>
      </c>
      <c r="AC73" s="3">
        <v>25</v>
      </c>
      <c r="AD73" s="13" t="s">
        <v>658</v>
      </c>
      <c r="AE73" s="36">
        <v>12</v>
      </c>
    </row>
    <row r="74" spans="1:31" x14ac:dyDescent="0.15">
      <c r="A74" s="42" t="s">
        <v>30</v>
      </c>
      <c r="C74" s="24"/>
      <c r="D74" s="3">
        <v>1</v>
      </c>
      <c r="E74" s="3">
        <v>1</v>
      </c>
      <c r="G74" s="24"/>
      <c r="O74" s="24"/>
      <c r="P74" s="24"/>
      <c r="R74" s="24"/>
      <c r="V74" s="24"/>
      <c r="W74" s="24" t="s">
        <v>62</v>
      </c>
      <c r="X74" s="3">
        <v>38</v>
      </c>
      <c r="Y74" s="2" t="s">
        <v>252</v>
      </c>
      <c r="Z74" s="6">
        <v>2.13</v>
      </c>
      <c r="AA74" s="46"/>
      <c r="AB74" s="12">
        <v>7</v>
      </c>
      <c r="AC74" s="3">
        <v>25</v>
      </c>
      <c r="AD74" s="13" t="s">
        <v>368</v>
      </c>
      <c r="AE74" s="36">
        <v>47</v>
      </c>
    </row>
    <row r="75" spans="1:31" x14ac:dyDescent="0.15">
      <c r="A75" s="42" t="s">
        <v>30</v>
      </c>
      <c r="C75" s="24"/>
      <c r="D75" s="3">
        <v>1</v>
      </c>
      <c r="E75" s="3">
        <v>1</v>
      </c>
      <c r="G75" s="24">
        <v>2</v>
      </c>
      <c r="O75" s="24"/>
      <c r="P75" s="24"/>
      <c r="R75" s="24"/>
      <c r="U75" s="3">
        <v>1</v>
      </c>
      <c r="V75" s="24"/>
      <c r="W75" s="24"/>
      <c r="X75" s="3">
        <v>39</v>
      </c>
      <c r="Y75" s="2" t="s">
        <v>558</v>
      </c>
      <c r="Z75" s="3">
        <v>2.67</v>
      </c>
      <c r="AA75" s="24">
        <v>0.43</v>
      </c>
      <c r="AB75" s="12">
        <v>5.3</v>
      </c>
      <c r="AC75" s="5">
        <v>23</v>
      </c>
      <c r="AD75" s="13" t="s">
        <v>148</v>
      </c>
      <c r="AE75" s="36">
        <v>83</v>
      </c>
    </row>
    <row r="76" spans="1:31" x14ac:dyDescent="0.15">
      <c r="A76" s="42" t="s">
        <v>30</v>
      </c>
      <c r="B76" s="3">
        <v>1</v>
      </c>
      <c r="C76" s="24"/>
      <c r="D76" s="3">
        <v>1</v>
      </c>
      <c r="G76" s="24">
        <v>1</v>
      </c>
      <c r="O76" s="24"/>
      <c r="P76" s="24"/>
      <c r="R76" s="24"/>
      <c r="T76" s="3">
        <v>1</v>
      </c>
      <c r="V76" s="24">
        <v>1</v>
      </c>
      <c r="W76" s="24"/>
      <c r="X76" s="3">
        <v>40</v>
      </c>
      <c r="Y76" s="2" t="s">
        <v>733</v>
      </c>
      <c r="Z76" s="5">
        <v>880</v>
      </c>
      <c r="AA76" s="9">
        <v>16</v>
      </c>
      <c r="AB76" s="12">
        <v>11.3</v>
      </c>
      <c r="AC76" s="3">
        <v>25</v>
      </c>
      <c r="AD76" s="13" t="s">
        <v>658</v>
      </c>
      <c r="AE76" s="36">
        <v>12</v>
      </c>
    </row>
    <row r="77" spans="1:31" x14ac:dyDescent="0.15">
      <c r="A77" s="42" t="s">
        <v>30</v>
      </c>
      <c r="C77" s="24"/>
      <c r="D77" s="3">
        <v>1</v>
      </c>
      <c r="F77" s="3">
        <v>1</v>
      </c>
      <c r="G77" s="24"/>
      <c r="I77" s="3">
        <v>1</v>
      </c>
      <c r="M77" s="3">
        <v>1</v>
      </c>
      <c r="O77" s="24"/>
      <c r="P77" s="24"/>
      <c r="R77" s="24"/>
      <c r="V77" s="24"/>
      <c r="W77" s="24"/>
      <c r="X77" s="3">
        <v>43</v>
      </c>
      <c r="Y77" s="2" t="s">
        <v>527</v>
      </c>
      <c r="Z77" s="6">
        <v>0.1782</v>
      </c>
      <c r="AA77" s="46"/>
      <c r="AB77" s="12">
        <v>6.8</v>
      </c>
      <c r="AC77" s="3">
        <v>35</v>
      </c>
      <c r="AD77" s="13" t="s">
        <v>652</v>
      </c>
      <c r="AE77" s="36">
        <v>8</v>
      </c>
    </row>
    <row r="78" spans="1:31" x14ac:dyDescent="0.15">
      <c r="A78" s="42" t="s">
        <v>30</v>
      </c>
      <c r="B78" s="3">
        <v>1</v>
      </c>
      <c r="C78" s="24"/>
      <c r="D78" s="3">
        <v>1</v>
      </c>
      <c r="G78" s="24">
        <v>1</v>
      </c>
      <c r="M78" s="3">
        <v>1</v>
      </c>
      <c r="O78" s="24"/>
      <c r="P78" s="24"/>
      <c r="R78" s="24"/>
      <c r="V78" s="24">
        <v>1</v>
      </c>
      <c r="W78" s="24"/>
      <c r="X78" s="3">
        <v>44</v>
      </c>
      <c r="Y78" s="2" t="s">
        <v>738</v>
      </c>
      <c r="Z78" s="5">
        <v>965</v>
      </c>
      <c r="AA78" s="9">
        <v>6</v>
      </c>
      <c r="AB78" s="12">
        <v>11.3</v>
      </c>
      <c r="AC78" s="3">
        <v>25</v>
      </c>
      <c r="AD78" s="13" t="s">
        <v>658</v>
      </c>
      <c r="AE78" s="36">
        <v>12</v>
      </c>
    </row>
    <row r="79" spans="1:31" x14ac:dyDescent="0.15">
      <c r="A79" s="42" t="s">
        <v>30</v>
      </c>
      <c r="C79" s="24"/>
      <c r="D79" s="3">
        <v>1</v>
      </c>
      <c r="E79" s="3">
        <v>1</v>
      </c>
      <c r="G79" s="24"/>
      <c r="M79" s="3">
        <v>1</v>
      </c>
      <c r="O79" s="24"/>
      <c r="P79" s="24"/>
      <c r="R79" s="24"/>
      <c r="V79" s="24"/>
      <c r="W79" s="24"/>
      <c r="X79" s="3">
        <v>45</v>
      </c>
      <c r="Y79" s="2" t="s">
        <v>528</v>
      </c>
      <c r="Z79" s="6">
        <v>0.86960000000000004</v>
      </c>
      <c r="AA79" s="46"/>
      <c r="AB79" s="12">
        <v>6.8</v>
      </c>
      <c r="AC79" s="3">
        <v>35</v>
      </c>
      <c r="AD79" s="13" t="s">
        <v>652</v>
      </c>
      <c r="AE79" s="36">
        <v>8</v>
      </c>
    </row>
    <row r="80" spans="1:31" x14ac:dyDescent="0.15">
      <c r="A80" s="42" t="s">
        <v>30</v>
      </c>
      <c r="B80" s="3">
        <v>1</v>
      </c>
      <c r="C80" s="24"/>
      <c r="G80" s="24"/>
      <c r="O80" s="24"/>
      <c r="P80" s="24"/>
      <c r="R80" s="24"/>
      <c r="V80" s="24">
        <v>1</v>
      </c>
      <c r="W80" s="24"/>
      <c r="X80" s="3">
        <v>46</v>
      </c>
      <c r="Y80" s="2" t="s">
        <v>639</v>
      </c>
      <c r="Z80" s="5">
        <v>455</v>
      </c>
      <c r="AA80" s="9">
        <v>23</v>
      </c>
      <c r="AB80" s="12">
        <v>13</v>
      </c>
      <c r="AC80" s="3">
        <v>25</v>
      </c>
      <c r="AD80" s="13" t="s">
        <v>47</v>
      </c>
      <c r="AE80" s="36">
        <v>2</v>
      </c>
    </row>
    <row r="81" spans="1:31" x14ac:dyDescent="0.15">
      <c r="A81" s="42" t="s">
        <v>30</v>
      </c>
      <c r="B81" s="3">
        <v>1</v>
      </c>
      <c r="C81" s="24"/>
      <c r="D81" s="3">
        <v>1</v>
      </c>
      <c r="G81" s="24">
        <v>1</v>
      </c>
      <c r="O81" s="24"/>
      <c r="P81" s="24"/>
      <c r="R81" s="24"/>
      <c r="V81" s="24">
        <v>1</v>
      </c>
      <c r="W81" s="24" t="s">
        <v>119</v>
      </c>
      <c r="X81" s="3">
        <v>47</v>
      </c>
      <c r="Y81" s="2" t="s">
        <v>737</v>
      </c>
      <c r="Z81" s="5">
        <v>834</v>
      </c>
      <c r="AA81" s="9">
        <v>39</v>
      </c>
      <c r="AB81" s="12">
        <v>11.3</v>
      </c>
      <c r="AC81" s="3">
        <v>25</v>
      </c>
      <c r="AD81" s="13" t="s">
        <v>658</v>
      </c>
      <c r="AE81" s="36">
        <v>12</v>
      </c>
    </row>
    <row r="82" spans="1:31" x14ac:dyDescent="0.15">
      <c r="A82" s="42" t="s">
        <v>30</v>
      </c>
      <c r="C82" s="24"/>
      <c r="D82" s="3">
        <v>1</v>
      </c>
      <c r="E82" s="3">
        <v>1</v>
      </c>
      <c r="G82" s="24"/>
      <c r="O82" s="24"/>
      <c r="P82" s="24"/>
      <c r="R82" s="24"/>
      <c r="V82" s="24"/>
      <c r="W82" s="24" t="s">
        <v>108</v>
      </c>
      <c r="X82" s="3">
        <v>48</v>
      </c>
      <c r="Y82" s="2" t="s">
        <v>367</v>
      </c>
      <c r="Z82" s="6">
        <v>1.93</v>
      </c>
      <c r="AA82" s="46"/>
      <c r="AB82" s="12">
        <v>7</v>
      </c>
      <c r="AC82" s="3">
        <v>25</v>
      </c>
      <c r="AD82" s="13" t="s">
        <v>368</v>
      </c>
      <c r="AE82" s="36">
        <v>47</v>
      </c>
    </row>
    <row r="83" spans="1:31" x14ac:dyDescent="0.15">
      <c r="A83" s="42" t="s">
        <v>30</v>
      </c>
      <c r="C83" s="24"/>
      <c r="D83" s="3">
        <v>1</v>
      </c>
      <c r="F83" s="3">
        <v>1</v>
      </c>
      <c r="G83" s="24"/>
      <c r="I83" s="3">
        <v>1</v>
      </c>
      <c r="O83" s="24"/>
      <c r="P83" s="24"/>
      <c r="R83" s="24"/>
      <c r="V83" s="24"/>
      <c r="W83" s="24" t="s">
        <v>61</v>
      </c>
      <c r="X83" s="3">
        <v>49</v>
      </c>
      <c r="Y83" s="2" t="s">
        <v>496</v>
      </c>
      <c r="Z83" s="6">
        <v>1.67</v>
      </c>
      <c r="AA83" s="46"/>
      <c r="AB83" s="12">
        <v>7</v>
      </c>
      <c r="AC83" s="3">
        <v>25</v>
      </c>
      <c r="AD83" s="13" t="s">
        <v>401</v>
      </c>
      <c r="AE83" s="36">
        <v>76</v>
      </c>
    </row>
    <row r="84" spans="1:31" x14ac:dyDescent="0.15">
      <c r="A84" s="42" t="s">
        <v>30</v>
      </c>
      <c r="B84" s="3">
        <v>1</v>
      </c>
      <c r="C84" s="24"/>
      <c r="G84" s="24"/>
      <c r="O84" s="24"/>
      <c r="P84" s="24"/>
      <c r="R84" s="24"/>
      <c r="V84" s="24">
        <v>1</v>
      </c>
      <c r="W84" s="24" t="s">
        <v>61</v>
      </c>
      <c r="X84" s="3">
        <v>50</v>
      </c>
      <c r="Y84" s="2" t="s">
        <v>637</v>
      </c>
      <c r="Z84" s="5">
        <v>325</v>
      </c>
      <c r="AA84" s="9">
        <v>16</v>
      </c>
      <c r="AB84" s="12">
        <v>13</v>
      </c>
      <c r="AC84" s="3">
        <v>25</v>
      </c>
      <c r="AD84" s="13" t="s">
        <v>47</v>
      </c>
      <c r="AE84" s="36">
        <v>2</v>
      </c>
    </row>
    <row r="85" spans="1:31" x14ac:dyDescent="0.15">
      <c r="A85" s="42" t="s">
        <v>30</v>
      </c>
      <c r="C85" s="24"/>
      <c r="D85" s="3">
        <v>1</v>
      </c>
      <c r="E85" s="3">
        <v>1</v>
      </c>
      <c r="G85" s="24"/>
      <c r="O85" s="24"/>
      <c r="P85" s="24"/>
      <c r="R85" s="24"/>
      <c r="V85" s="24"/>
      <c r="W85" s="24" t="s">
        <v>61</v>
      </c>
      <c r="X85" s="3">
        <v>51</v>
      </c>
      <c r="Y85" s="2" t="s">
        <v>398</v>
      </c>
      <c r="Z85" s="6">
        <v>6.75</v>
      </c>
      <c r="AA85" s="46">
        <v>4.0112342240263157</v>
      </c>
      <c r="AB85" s="12">
        <v>7</v>
      </c>
      <c r="AC85" s="3">
        <v>25</v>
      </c>
      <c r="AD85" s="13" t="s">
        <v>718</v>
      </c>
      <c r="AE85" s="36" t="s">
        <v>719</v>
      </c>
    </row>
    <row r="86" spans="1:31" x14ac:dyDescent="0.15">
      <c r="A86" s="42" t="s">
        <v>30</v>
      </c>
      <c r="C86" s="24"/>
      <c r="D86" s="3">
        <v>1</v>
      </c>
      <c r="F86" s="3">
        <v>1</v>
      </c>
      <c r="G86" s="24"/>
      <c r="I86" s="3">
        <v>1</v>
      </c>
      <c r="O86" s="24"/>
      <c r="P86" s="24"/>
      <c r="R86" s="24"/>
      <c r="V86" s="24"/>
      <c r="W86" s="24" t="s">
        <v>62</v>
      </c>
      <c r="X86" s="3">
        <v>52</v>
      </c>
      <c r="Y86" s="2" t="s">
        <v>493</v>
      </c>
      <c r="Z86" s="6">
        <v>1.1299999999999999</v>
      </c>
      <c r="AA86" s="46"/>
      <c r="AB86" s="12">
        <v>7</v>
      </c>
      <c r="AC86" s="3">
        <v>25</v>
      </c>
      <c r="AD86" s="13" t="s">
        <v>401</v>
      </c>
      <c r="AE86" s="36">
        <v>76</v>
      </c>
    </row>
    <row r="87" spans="1:31" x14ac:dyDescent="0.15">
      <c r="A87" s="42" t="s">
        <v>30</v>
      </c>
      <c r="B87" s="3">
        <v>1</v>
      </c>
      <c r="C87" s="24"/>
      <c r="D87" s="3">
        <v>1</v>
      </c>
      <c r="G87" s="24">
        <v>1</v>
      </c>
      <c r="O87" s="24"/>
      <c r="P87" s="24"/>
      <c r="R87" s="24"/>
      <c r="V87" s="24">
        <v>1</v>
      </c>
      <c r="W87" s="24" t="s">
        <v>62</v>
      </c>
      <c r="X87" s="3">
        <v>53</v>
      </c>
      <c r="Y87" s="2" t="s">
        <v>734</v>
      </c>
      <c r="Z87" s="5">
        <v>678</v>
      </c>
      <c r="AA87" s="9">
        <v>16</v>
      </c>
      <c r="AB87" s="12">
        <v>11.3</v>
      </c>
      <c r="AC87" s="3">
        <v>25</v>
      </c>
      <c r="AD87" s="13" t="s">
        <v>658</v>
      </c>
      <c r="AE87" s="36">
        <v>12</v>
      </c>
    </row>
    <row r="88" spans="1:31" x14ac:dyDescent="0.15">
      <c r="A88" s="42" t="s">
        <v>30</v>
      </c>
      <c r="C88" s="24"/>
      <c r="D88" s="3">
        <v>1</v>
      </c>
      <c r="E88" s="3">
        <v>1</v>
      </c>
      <c r="G88" s="24"/>
      <c r="O88" s="24"/>
      <c r="P88" s="24"/>
      <c r="R88" s="24"/>
      <c r="V88" s="24"/>
      <c r="W88" s="24" t="s">
        <v>62</v>
      </c>
      <c r="X88" s="3">
        <v>54</v>
      </c>
      <c r="Y88" s="2" t="s">
        <v>179</v>
      </c>
      <c r="Z88" s="6">
        <v>8.4</v>
      </c>
      <c r="AA88" s="46"/>
      <c r="AB88" s="12">
        <v>7</v>
      </c>
      <c r="AC88" s="3">
        <v>25</v>
      </c>
      <c r="AD88" s="13" t="s">
        <v>368</v>
      </c>
      <c r="AE88" s="36">
        <v>47</v>
      </c>
    </row>
    <row r="89" spans="1:31" x14ac:dyDescent="0.15">
      <c r="A89" s="42" t="s">
        <v>30</v>
      </c>
      <c r="C89" s="24"/>
      <c r="D89" s="3">
        <v>1</v>
      </c>
      <c r="E89" s="3">
        <v>1</v>
      </c>
      <c r="G89" s="24">
        <v>2</v>
      </c>
      <c r="O89" s="24"/>
      <c r="P89" s="24"/>
      <c r="R89" s="24"/>
      <c r="V89" s="24"/>
      <c r="W89" s="24"/>
      <c r="X89" s="3">
        <v>55</v>
      </c>
      <c r="Y89" s="2" t="s">
        <v>557</v>
      </c>
      <c r="Z89" s="3">
        <v>8.6300000000000008</v>
      </c>
      <c r="AA89" s="24">
        <v>0.57999999999999996</v>
      </c>
      <c r="AB89" s="12">
        <v>5.3</v>
      </c>
      <c r="AC89" s="5">
        <v>23</v>
      </c>
      <c r="AD89" s="13" t="s">
        <v>148</v>
      </c>
      <c r="AE89" s="36">
        <v>83</v>
      </c>
    </row>
    <row r="90" spans="1:31" x14ac:dyDescent="0.15">
      <c r="A90" s="42" t="s">
        <v>30</v>
      </c>
      <c r="C90" s="24"/>
      <c r="D90" s="3">
        <v>1</v>
      </c>
      <c r="E90" s="3">
        <v>1</v>
      </c>
      <c r="G90" s="24"/>
      <c r="O90" s="24"/>
      <c r="P90" s="24"/>
      <c r="R90" s="24"/>
      <c r="V90" s="24">
        <v>1</v>
      </c>
      <c r="W90" s="24"/>
      <c r="X90" s="3">
        <v>56</v>
      </c>
      <c r="Y90" s="2" t="s">
        <v>451</v>
      </c>
      <c r="Z90" s="6">
        <v>0.48</v>
      </c>
      <c r="AA90" s="46">
        <v>3.2000000000000001E-2</v>
      </c>
      <c r="AB90" s="12">
        <v>7</v>
      </c>
      <c r="AC90" s="3">
        <v>25</v>
      </c>
      <c r="AD90" s="13" t="s">
        <v>452</v>
      </c>
      <c r="AE90" s="36">
        <v>67</v>
      </c>
    </row>
    <row r="91" spans="1:31" x14ac:dyDescent="0.15">
      <c r="A91" s="42" t="s">
        <v>30</v>
      </c>
      <c r="B91" s="3">
        <v>1</v>
      </c>
      <c r="C91" s="24"/>
      <c r="D91" s="3">
        <v>1</v>
      </c>
      <c r="G91" s="24">
        <v>1</v>
      </c>
      <c r="O91" s="24"/>
      <c r="P91" s="24"/>
      <c r="R91" s="24"/>
      <c r="T91" s="3">
        <v>1</v>
      </c>
      <c r="V91" s="24">
        <v>1</v>
      </c>
      <c r="W91" s="24"/>
      <c r="X91" s="3">
        <v>57</v>
      </c>
      <c r="Y91" s="2" t="s">
        <v>643</v>
      </c>
      <c r="Z91" s="5">
        <v>272</v>
      </c>
      <c r="AA91" s="9">
        <v>14</v>
      </c>
      <c r="AB91" s="12">
        <v>6.5</v>
      </c>
      <c r="AC91" s="3">
        <v>0.5</v>
      </c>
      <c r="AD91" s="13" t="s">
        <v>46</v>
      </c>
      <c r="AE91" s="36">
        <v>2</v>
      </c>
    </row>
    <row r="92" spans="1:31" x14ac:dyDescent="0.15">
      <c r="A92" s="42" t="s">
        <v>30</v>
      </c>
      <c r="C92" s="24"/>
      <c r="D92" s="3">
        <v>1</v>
      </c>
      <c r="F92" s="3">
        <v>1</v>
      </c>
      <c r="G92" s="24">
        <v>3</v>
      </c>
      <c r="I92" s="3">
        <v>1</v>
      </c>
      <c r="O92" s="24"/>
      <c r="P92" s="24"/>
      <c r="R92" s="24"/>
      <c r="V92" s="24"/>
      <c r="W92" s="24"/>
      <c r="X92" s="3">
        <v>58</v>
      </c>
      <c r="Y92" s="2" t="s">
        <v>491</v>
      </c>
      <c r="Z92" s="5">
        <v>305.27999999999997</v>
      </c>
      <c r="AA92" s="9"/>
      <c r="AB92" s="12">
        <v>7</v>
      </c>
      <c r="AC92" s="3">
        <v>25</v>
      </c>
      <c r="AD92" s="13" t="s">
        <v>401</v>
      </c>
      <c r="AE92" s="36">
        <v>76</v>
      </c>
    </row>
    <row r="93" spans="1:31" x14ac:dyDescent="0.15">
      <c r="A93" s="42" t="s">
        <v>30</v>
      </c>
      <c r="B93" s="3">
        <v>1</v>
      </c>
      <c r="C93" s="24"/>
      <c r="D93" s="3">
        <v>1</v>
      </c>
      <c r="G93" s="24">
        <v>4</v>
      </c>
      <c r="O93" s="24"/>
      <c r="P93" s="24"/>
      <c r="R93" s="24"/>
      <c r="V93" s="24">
        <v>1</v>
      </c>
      <c r="W93" s="24"/>
      <c r="X93" s="3">
        <v>59</v>
      </c>
      <c r="Y93" s="2" t="s">
        <v>642</v>
      </c>
      <c r="Z93" s="5">
        <v>699</v>
      </c>
      <c r="AA93" s="9">
        <v>11</v>
      </c>
      <c r="AB93" s="12">
        <v>11.3</v>
      </c>
      <c r="AC93" s="3">
        <v>25</v>
      </c>
      <c r="AD93" s="13" t="s">
        <v>658</v>
      </c>
      <c r="AE93" s="36">
        <v>12</v>
      </c>
    </row>
    <row r="94" spans="1:31" x14ac:dyDescent="0.15">
      <c r="A94" s="42" t="s">
        <v>30</v>
      </c>
      <c r="C94" s="24"/>
      <c r="D94" s="3">
        <v>1</v>
      </c>
      <c r="E94" s="3">
        <v>1</v>
      </c>
      <c r="G94" s="24">
        <v>2</v>
      </c>
      <c r="O94" s="24"/>
      <c r="P94" s="24"/>
      <c r="R94" s="24"/>
      <c r="V94" s="24"/>
      <c r="W94" s="24"/>
      <c r="X94" s="3">
        <v>61</v>
      </c>
      <c r="Y94" s="2" t="s">
        <v>532</v>
      </c>
      <c r="Z94" s="8">
        <v>68.95</v>
      </c>
      <c r="AA94" s="48">
        <v>7.141778489984131</v>
      </c>
      <c r="AB94" s="12">
        <v>7</v>
      </c>
      <c r="AC94" s="3">
        <v>25</v>
      </c>
      <c r="AD94" s="13" t="s">
        <v>740</v>
      </c>
      <c r="AE94" s="36" t="s">
        <v>741</v>
      </c>
    </row>
    <row r="95" spans="1:31" x14ac:dyDescent="0.15">
      <c r="A95" s="42" t="s">
        <v>30</v>
      </c>
      <c r="C95" s="24"/>
      <c r="D95" s="3">
        <v>1</v>
      </c>
      <c r="F95" s="3">
        <v>1</v>
      </c>
      <c r="G95" s="24"/>
      <c r="I95" s="3">
        <v>1</v>
      </c>
      <c r="M95" s="3">
        <v>1</v>
      </c>
      <c r="O95" s="24"/>
      <c r="P95" s="24"/>
      <c r="R95" s="24"/>
      <c r="V95" s="24"/>
      <c r="W95" s="24"/>
      <c r="X95" s="3">
        <v>62</v>
      </c>
      <c r="Y95" s="2" t="s">
        <v>530</v>
      </c>
      <c r="Z95" s="7">
        <v>1.1599999999999999E-2</v>
      </c>
      <c r="AA95" s="45"/>
      <c r="AB95" s="12">
        <v>6.8</v>
      </c>
      <c r="AC95" s="3">
        <v>35</v>
      </c>
      <c r="AD95" s="13" t="s">
        <v>652</v>
      </c>
      <c r="AE95" s="36">
        <v>8</v>
      </c>
    </row>
    <row r="96" spans="1:31" x14ac:dyDescent="0.15">
      <c r="A96" s="42" t="s">
        <v>30</v>
      </c>
      <c r="B96" s="3">
        <v>1</v>
      </c>
      <c r="C96" s="24"/>
      <c r="D96" s="3">
        <v>1</v>
      </c>
      <c r="G96" s="24">
        <v>1</v>
      </c>
      <c r="M96" s="3">
        <v>1</v>
      </c>
      <c r="O96" s="24"/>
      <c r="P96" s="24"/>
      <c r="R96" s="24"/>
      <c r="V96" s="24">
        <v>1</v>
      </c>
      <c r="W96" s="24"/>
      <c r="X96" s="3">
        <v>63</v>
      </c>
      <c r="Y96" s="2" t="s">
        <v>739</v>
      </c>
      <c r="Z96" s="3">
        <v>1190</v>
      </c>
      <c r="AA96" s="24">
        <v>20</v>
      </c>
      <c r="AB96" s="12">
        <v>11.3</v>
      </c>
      <c r="AC96" s="3">
        <v>25</v>
      </c>
      <c r="AD96" s="13" t="s">
        <v>658</v>
      </c>
      <c r="AE96" s="36">
        <v>12</v>
      </c>
    </row>
    <row r="97" spans="1:31" x14ac:dyDescent="0.15">
      <c r="A97" s="42" t="s">
        <v>30</v>
      </c>
      <c r="C97" s="24"/>
      <c r="D97" s="3">
        <v>1</v>
      </c>
      <c r="E97" s="3">
        <v>1</v>
      </c>
      <c r="G97" s="24"/>
      <c r="M97" s="3">
        <v>1</v>
      </c>
      <c r="O97" s="24"/>
      <c r="P97" s="24"/>
      <c r="R97" s="24"/>
      <c r="V97" s="24"/>
      <c r="W97" s="24"/>
      <c r="X97" s="3">
        <v>64</v>
      </c>
      <c r="Y97" s="2" t="s">
        <v>531</v>
      </c>
      <c r="Z97" s="7">
        <v>9.7900000000000001E-2</v>
      </c>
      <c r="AA97" s="24">
        <v>0.03</v>
      </c>
      <c r="AB97" s="12" t="s">
        <v>742</v>
      </c>
      <c r="AC97" s="5" t="s">
        <v>743</v>
      </c>
      <c r="AD97" s="13" t="s">
        <v>148</v>
      </c>
      <c r="AE97" s="36" t="s">
        <v>744</v>
      </c>
    </row>
    <row r="98" spans="1:31" x14ac:dyDescent="0.15">
      <c r="A98" s="42" t="s">
        <v>30</v>
      </c>
      <c r="B98" s="3">
        <v>1</v>
      </c>
      <c r="C98" s="24"/>
      <c r="G98" s="24"/>
      <c r="O98" s="24"/>
      <c r="P98" s="24"/>
      <c r="R98" s="24"/>
      <c r="V98" s="24">
        <v>1</v>
      </c>
      <c r="W98" s="24"/>
      <c r="X98" s="3">
        <v>66</v>
      </c>
      <c r="Y98" s="2" t="s">
        <v>640</v>
      </c>
      <c r="Z98" s="5">
        <v>167</v>
      </c>
      <c r="AA98" s="9">
        <v>8</v>
      </c>
      <c r="AB98" s="12">
        <v>13</v>
      </c>
      <c r="AC98" s="3">
        <v>25</v>
      </c>
      <c r="AD98" s="13" t="s">
        <v>47</v>
      </c>
      <c r="AE98" s="36">
        <v>2</v>
      </c>
    </row>
    <row r="99" spans="1:31" x14ac:dyDescent="0.15">
      <c r="A99" s="42" t="s">
        <v>30</v>
      </c>
      <c r="B99" s="3">
        <v>1</v>
      </c>
      <c r="C99" s="24"/>
      <c r="G99" s="24"/>
      <c r="J99" s="3">
        <v>2</v>
      </c>
      <c r="O99" s="24"/>
      <c r="P99" s="24"/>
      <c r="R99" s="24"/>
      <c r="S99" s="3">
        <v>3</v>
      </c>
      <c r="V99" s="24"/>
      <c r="W99" s="24"/>
      <c r="X99" s="3">
        <v>67</v>
      </c>
      <c r="Y99" s="2" t="s">
        <v>533</v>
      </c>
      <c r="Z99" s="6">
        <v>2.59</v>
      </c>
      <c r="AA99" s="46"/>
      <c r="AB99" s="12">
        <v>6.7</v>
      </c>
      <c r="AC99" s="3">
        <v>25</v>
      </c>
      <c r="AD99" s="13" t="s">
        <v>112</v>
      </c>
      <c r="AE99" s="36">
        <v>11</v>
      </c>
    </row>
    <row r="100" spans="1:31" x14ac:dyDescent="0.15">
      <c r="A100" s="42" t="s">
        <v>30</v>
      </c>
      <c r="B100" s="3">
        <v>1</v>
      </c>
      <c r="C100" s="24"/>
      <c r="G100" s="24"/>
      <c r="J100" s="3">
        <v>2</v>
      </c>
      <c r="O100" s="24"/>
      <c r="P100" s="24"/>
      <c r="R100" s="24"/>
      <c r="S100" s="3">
        <v>2</v>
      </c>
      <c r="V100" s="24"/>
      <c r="W100" s="24" t="s">
        <v>61</v>
      </c>
      <c r="X100" s="3">
        <v>68</v>
      </c>
      <c r="Y100" s="2" t="s">
        <v>534</v>
      </c>
      <c r="Z100" s="8">
        <v>13.7</v>
      </c>
      <c r="AA100" s="48"/>
      <c r="AB100" s="12">
        <v>6.7</v>
      </c>
      <c r="AC100" s="3">
        <v>25</v>
      </c>
      <c r="AD100" s="13" t="s">
        <v>112</v>
      </c>
      <c r="AE100" s="36">
        <v>11</v>
      </c>
    </row>
    <row r="101" spans="1:31" x14ac:dyDescent="0.15">
      <c r="A101" s="42" t="s">
        <v>30</v>
      </c>
      <c r="B101" s="3">
        <v>1</v>
      </c>
      <c r="C101" s="24"/>
      <c r="G101" s="24"/>
      <c r="J101" s="3">
        <v>2</v>
      </c>
      <c r="O101" s="24"/>
      <c r="P101" s="24"/>
      <c r="R101" s="24"/>
      <c r="S101" s="3">
        <v>2</v>
      </c>
      <c r="V101" s="24"/>
      <c r="W101" s="24" t="s">
        <v>62</v>
      </c>
      <c r="X101" s="3">
        <v>69</v>
      </c>
      <c r="Y101" s="2" t="s">
        <v>535</v>
      </c>
      <c r="Z101" s="8">
        <v>11</v>
      </c>
      <c r="AA101" s="48"/>
      <c r="AB101" s="12">
        <v>6.7</v>
      </c>
      <c r="AC101" s="3">
        <v>25</v>
      </c>
      <c r="AD101" s="13" t="s">
        <v>112</v>
      </c>
      <c r="AE101" s="36">
        <v>11</v>
      </c>
    </row>
    <row r="102" spans="1:31" x14ac:dyDescent="0.15">
      <c r="A102" s="42" t="s">
        <v>30</v>
      </c>
      <c r="B102" s="3">
        <v>1</v>
      </c>
      <c r="C102" s="24"/>
      <c r="G102" s="24"/>
      <c r="J102" s="3">
        <v>2</v>
      </c>
      <c r="O102" s="24"/>
      <c r="P102" s="24"/>
      <c r="R102" s="24"/>
      <c r="S102" s="3">
        <v>2</v>
      </c>
      <c r="V102" s="24"/>
      <c r="W102" s="24" t="s">
        <v>114</v>
      </c>
      <c r="X102" s="3">
        <v>70</v>
      </c>
      <c r="Y102" s="2" t="s">
        <v>536</v>
      </c>
      <c r="Z102" s="8">
        <v>70.599999999999994</v>
      </c>
      <c r="AA102" s="48"/>
      <c r="AB102" s="12">
        <v>6.7</v>
      </c>
      <c r="AC102" s="3">
        <v>25</v>
      </c>
      <c r="AD102" s="13" t="s">
        <v>112</v>
      </c>
      <c r="AE102" s="36">
        <v>11</v>
      </c>
    </row>
    <row r="103" spans="1:31" x14ac:dyDescent="0.15">
      <c r="A103" s="42" t="s">
        <v>30</v>
      </c>
      <c r="B103" s="3">
        <v>1</v>
      </c>
      <c r="C103" s="24"/>
      <c r="G103" s="24"/>
      <c r="J103" s="3">
        <v>2</v>
      </c>
      <c r="O103" s="24"/>
      <c r="P103" s="24"/>
      <c r="R103" s="24"/>
      <c r="S103" s="3">
        <v>2</v>
      </c>
      <c r="V103" s="24"/>
      <c r="W103" s="24" t="s">
        <v>115</v>
      </c>
      <c r="X103" s="3">
        <v>71</v>
      </c>
      <c r="Y103" s="2" t="s">
        <v>537</v>
      </c>
      <c r="Z103" s="8">
        <v>16.100000000000001</v>
      </c>
      <c r="AA103" s="48"/>
      <c r="AB103" s="12">
        <v>6.7</v>
      </c>
      <c r="AC103" s="3">
        <v>25</v>
      </c>
      <c r="AD103" s="13" t="s">
        <v>112</v>
      </c>
      <c r="AE103" s="36">
        <v>11</v>
      </c>
    </row>
    <row r="104" spans="1:31" x14ac:dyDescent="0.15">
      <c r="A104" s="42" t="s">
        <v>30</v>
      </c>
      <c r="B104" s="3">
        <v>1</v>
      </c>
      <c r="C104" s="24"/>
      <c r="G104" s="24"/>
      <c r="J104" s="3">
        <v>2</v>
      </c>
      <c r="O104" s="24"/>
      <c r="P104" s="24"/>
      <c r="R104" s="24"/>
      <c r="S104" s="3">
        <v>2</v>
      </c>
      <c r="V104" s="24"/>
      <c r="W104" s="24"/>
      <c r="X104" s="3">
        <v>72</v>
      </c>
      <c r="Y104" s="2" t="s">
        <v>538</v>
      </c>
      <c r="Z104" s="8">
        <v>16.100000000000001</v>
      </c>
      <c r="AA104" s="48"/>
      <c r="AB104" s="12">
        <v>6.7</v>
      </c>
      <c r="AC104" s="3">
        <v>25</v>
      </c>
      <c r="AD104" s="13" t="s">
        <v>112</v>
      </c>
      <c r="AE104" s="36">
        <v>11</v>
      </c>
    </row>
    <row r="105" spans="1:31" x14ac:dyDescent="0.15">
      <c r="A105" s="42" t="s">
        <v>30</v>
      </c>
      <c r="B105" s="3">
        <v>1</v>
      </c>
      <c r="C105" s="24"/>
      <c r="G105" s="24"/>
      <c r="J105" s="3">
        <v>2</v>
      </c>
      <c r="M105" s="3">
        <v>1</v>
      </c>
      <c r="O105" s="24"/>
      <c r="P105" s="24"/>
      <c r="R105" s="24"/>
      <c r="S105" s="3">
        <v>2</v>
      </c>
      <c r="V105" s="24"/>
      <c r="W105" s="24"/>
      <c r="X105" s="3">
        <v>73</v>
      </c>
      <c r="Y105" s="2" t="s">
        <v>539</v>
      </c>
      <c r="Z105" s="6">
        <v>2.62</v>
      </c>
      <c r="AA105" s="46"/>
      <c r="AB105" s="12">
        <v>6.7</v>
      </c>
      <c r="AC105" s="3">
        <v>25</v>
      </c>
      <c r="AD105" s="13" t="s">
        <v>112</v>
      </c>
      <c r="AE105" s="36">
        <v>11</v>
      </c>
    </row>
    <row r="106" spans="1:31" x14ac:dyDescent="0.15">
      <c r="A106" s="42" t="s">
        <v>30</v>
      </c>
      <c r="B106" s="3">
        <v>1</v>
      </c>
      <c r="C106" s="24"/>
      <c r="G106" s="24"/>
      <c r="J106" s="3">
        <v>2</v>
      </c>
      <c r="O106" s="24"/>
      <c r="P106" s="24"/>
      <c r="R106" s="24"/>
      <c r="S106" s="3">
        <v>2</v>
      </c>
      <c r="V106" s="24"/>
      <c r="W106" s="24"/>
      <c r="X106" s="3">
        <v>75</v>
      </c>
      <c r="Y106" s="2" t="s">
        <v>540</v>
      </c>
      <c r="Z106" s="7">
        <v>8.3000000000000004E-2</v>
      </c>
      <c r="AA106" s="45"/>
      <c r="AB106" s="12">
        <v>6.7</v>
      </c>
      <c r="AC106" s="3">
        <v>25</v>
      </c>
      <c r="AD106" s="13" t="s">
        <v>112</v>
      </c>
      <c r="AE106" s="36">
        <v>11</v>
      </c>
    </row>
    <row r="107" spans="1:31" x14ac:dyDescent="0.15">
      <c r="A107" s="42" t="s">
        <v>30</v>
      </c>
      <c r="C107" s="24"/>
      <c r="G107" s="24"/>
      <c r="O107" s="24"/>
      <c r="P107" s="24"/>
      <c r="R107" s="24"/>
      <c r="S107" s="3">
        <v>1</v>
      </c>
      <c r="U107" s="3">
        <v>1</v>
      </c>
      <c r="V107" s="24"/>
      <c r="W107" s="24"/>
      <c r="X107" s="3">
        <v>78</v>
      </c>
      <c r="Y107" s="2" t="s">
        <v>25</v>
      </c>
      <c r="Z107" s="5">
        <v>178</v>
      </c>
      <c r="AA107" s="9">
        <v>1.6952380952380954</v>
      </c>
      <c r="AB107" s="12">
        <v>13</v>
      </c>
      <c r="AC107" s="3">
        <v>25</v>
      </c>
      <c r="AD107" s="13" t="s">
        <v>22</v>
      </c>
      <c r="AE107" s="36">
        <v>1</v>
      </c>
    </row>
    <row r="108" spans="1:31" x14ac:dyDescent="0.15">
      <c r="A108" s="42" t="s">
        <v>30</v>
      </c>
      <c r="C108" s="24"/>
      <c r="G108" s="24"/>
      <c r="O108" s="24"/>
      <c r="P108" s="24"/>
      <c r="R108" s="24"/>
      <c r="S108" s="3">
        <v>2</v>
      </c>
      <c r="V108" s="24"/>
      <c r="W108" s="24"/>
      <c r="X108" s="3">
        <v>80</v>
      </c>
      <c r="Y108" s="2" t="s">
        <v>221</v>
      </c>
      <c r="Z108" s="6">
        <v>5.8666666666666663</v>
      </c>
      <c r="AA108" s="46"/>
      <c r="AB108" s="12">
        <v>4.5999999999999996</v>
      </c>
      <c r="AC108" s="3">
        <v>25</v>
      </c>
      <c r="AD108" s="13" t="s">
        <v>680</v>
      </c>
      <c r="AE108" s="36">
        <v>30</v>
      </c>
    </row>
    <row r="109" spans="1:31" x14ac:dyDescent="0.15">
      <c r="A109" s="42" t="s">
        <v>30</v>
      </c>
      <c r="C109" s="24">
        <v>1</v>
      </c>
      <c r="G109" s="24"/>
      <c r="O109" s="24"/>
      <c r="P109" s="24"/>
      <c r="R109" s="24"/>
      <c r="V109" s="24">
        <v>2</v>
      </c>
      <c r="W109" s="24"/>
      <c r="X109" s="3">
        <v>81</v>
      </c>
      <c r="Y109" s="2" t="s">
        <v>80</v>
      </c>
      <c r="Z109" s="8">
        <v>60</v>
      </c>
      <c r="AA109" s="48"/>
      <c r="AB109" s="12">
        <v>3.8</v>
      </c>
      <c r="AC109" s="3">
        <v>24.4</v>
      </c>
      <c r="AD109" s="13" t="s">
        <v>646</v>
      </c>
      <c r="AE109" s="36">
        <v>4</v>
      </c>
    </row>
    <row r="110" spans="1:31" x14ac:dyDescent="0.15">
      <c r="A110" s="42" t="s">
        <v>30</v>
      </c>
      <c r="B110" s="3">
        <v>1</v>
      </c>
      <c r="C110" s="24"/>
      <c r="G110" s="24"/>
      <c r="O110" s="24"/>
      <c r="P110" s="24"/>
      <c r="R110" s="24"/>
      <c r="V110" s="24">
        <v>1</v>
      </c>
      <c r="W110" s="24"/>
      <c r="X110" s="3">
        <v>82</v>
      </c>
      <c r="Y110" s="2" t="s">
        <v>634</v>
      </c>
      <c r="Z110" s="5">
        <v>330</v>
      </c>
      <c r="AA110" s="9">
        <v>17</v>
      </c>
      <c r="AB110" s="12">
        <v>13</v>
      </c>
      <c r="AC110" s="3">
        <v>25</v>
      </c>
      <c r="AD110" s="13" t="s">
        <v>47</v>
      </c>
      <c r="AE110" s="36">
        <v>2</v>
      </c>
    </row>
    <row r="111" spans="1:31" x14ac:dyDescent="0.15">
      <c r="A111" s="42" t="s">
        <v>30</v>
      </c>
      <c r="B111" s="3">
        <v>1</v>
      </c>
      <c r="C111" s="24"/>
      <c r="G111" s="24"/>
      <c r="O111" s="24"/>
      <c r="P111" s="24"/>
      <c r="R111" s="24"/>
      <c r="U111" s="3">
        <v>1</v>
      </c>
      <c r="V111" s="24"/>
      <c r="W111" s="24"/>
      <c r="X111" s="3">
        <v>84</v>
      </c>
      <c r="Y111" s="2" t="s">
        <v>541</v>
      </c>
      <c r="Z111" s="5">
        <v>140</v>
      </c>
      <c r="AA111" s="9">
        <v>7</v>
      </c>
      <c r="AB111" s="12">
        <v>6.5</v>
      </c>
      <c r="AC111" s="3">
        <v>25</v>
      </c>
      <c r="AD111" s="13" t="s">
        <v>46</v>
      </c>
      <c r="AE111" s="36">
        <v>2</v>
      </c>
    </row>
    <row r="112" spans="1:31" x14ac:dyDescent="0.15">
      <c r="A112" s="42" t="s">
        <v>30</v>
      </c>
      <c r="C112" s="24"/>
      <c r="D112" s="3">
        <v>1</v>
      </c>
      <c r="F112" s="3">
        <v>1</v>
      </c>
      <c r="G112" s="24"/>
      <c r="I112" s="3">
        <v>1</v>
      </c>
      <c r="O112" s="24"/>
      <c r="P112" s="24"/>
      <c r="R112" s="24"/>
      <c r="V112" s="24"/>
      <c r="W112" s="24"/>
      <c r="X112" s="3">
        <v>86</v>
      </c>
      <c r="Y112" s="2" t="s">
        <v>16</v>
      </c>
      <c r="Z112" s="6">
        <v>9.44</v>
      </c>
      <c r="AA112" s="46"/>
      <c r="AB112" s="12">
        <v>7</v>
      </c>
      <c r="AC112" s="3">
        <v>25</v>
      </c>
      <c r="AD112" s="13" t="s">
        <v>401</v>
      </c>
      <c r="AE112" s="36">
        <v>76</v>
      </c>
    </row>
    <row r="113" spans="1:31" x14ac:dyDescent="0.15">
      <c r="A113" s="42" t="s">
        <v>30</v>
      </c>
      <c r="C113" s="24"/>
      <c r="D113" s="3">
        <v>1</v>
      </c>
      <c r="G113" s="24">
        <v>1</v>
      </c>
      <c r="O113" s="24"/>
      <c r="P113" s="24"/>
      <c r="R113" s="24"/>
      <c r="S113" s="3">
        <v>1</v>
      </c>
      <c r="V113" s="24"/>
      <c r="W113" s="24"/>
      <c r="X113" s="3">
        <v>90</v>
      </c>
      <c r="Y113" s="2" t="s">
        <v>130</v>
      </c>
      <c r="Z113" s="6">
        <v>0.33500000000000002</v>
      </c>
      <c r="AA113" s="46"/>
      <c r="AB113" s="12">
        <v>7</v>
      </c>
      <c r="AC113" s="3">
        <v>25</v>
      </c>
      <c r="AD113" s="13" t="s">
        <v>127</v>
      </c>
      <c r="AE113" s="36">
        <v>14</v>
      </c>
    </row>
    <row r="114" spans="1:31" x14ac:dyDescent="0.15">
      <c r="A114" s="42" t="s">
        <v>30</v>
      </c>
      <c r="C114" s="24"/>
      <c r="D114" s="3">
        <v>2</v>
      </c>
      <c r="G114" s="24"/>
      <c r="O114" s="24"/>
      <c r="P114" s="24"/>
      <c r="R114" s="24"/>
      <c r="U114" s="3">
        <v>1</v>
      </c>
      <c r="V114" s="24">
        <v>1</v>
      </c>
      <c r="W114" s="24"/>
      <c r="X114" s="3">
        <v>92</v>
      </c>
      <c r="Y114" s="2" t="s">
        <v>189</v>
      </c>
      <c r="Z114" s="6">
        <v>1.04</v>
      </c>
      <c r="AA114" s="46">
        <v>0.02</v>
      </c>
      <c r="AB114" s="12">
        <v>3</v>
      </c>
      <c r="AC114" s="3">
        <v>21</v>
      </c>
      <c r="AD114" s="13" t="s">
        <v>190</v>
      </c>
      <c r="AE114" s="36">
        <v>27</v>
      </c>
    </row>
    <row r="115" spans="1:31" x14ac:dyDescent="0.15">
      <c r="A115" s="42" t="s">
        <v>30</v>
      </c>
      <c r="C115" s="24"/>
      <c r="D115" s="3">
        <v>1</v>
      </c>
      <c r="G115" s="24">
        <v>2</v>
      </c>
      <c r="O115" s="24"/>
      <c r="P115" s="24"/>
      <c r="R115" s="24"/>
      <c r="U115" s="3">
        <v>1</v>
      </c>
      <c r="V115" s="24"/>
      <c r="W115" s="24"/>
      <c r="X115" s="3">
        <v>94</v>
      </c>
      <c r="Y115" s="2" t="s">
        <v>129</v>
      </c>
      <c r="Z115" s="7">
        <v>3.1800000000000002E-2</v>
      </c>
      <c r="AA115" s="45"/>
      <c r="AB115" s="12">
        <v>7</v>
      </c>
      <c r="AC115" s="3">
        <v>25</v>
      </c>
      <c r="AD115" s="13" t="s">
        <v>127</v>
      </c>
      <c r="AE115" s="36">
        <v>14</v>
      </c>
    </row>
    <row r="116" spans="1:31" x14ac:dyDescent="0.15">
      <c r="A116" s="42" t="s">
        <v>30</v>
      </c>
      <c r="B116" s="3">
        <v>1</v>
      </c>
      <c r="C116" s="24"/>
      <c r="G116" s="24"/>
      <c r="O116" s="24"/>
      <c r="P116" s="24"/>
      <c r="R116" s="24"/>
      <c r="V116" s="24">
        <v>2</v>
      </c>
      <c r="W116" s="24" t="s">
        <v>61</v>
      </c>
      <c r="X116" s="3">
        <v>99</v>
      </c>
      <c r="Y116" s="2" t="s">
        <v>102</v>
      </c>
      <c r="Z116" s="6">
        <v>2.7</v>
      </c>
      <c r="AA116" s="46">
        <v>0.21600000000000003</v>
      </c>
      <c r="AB116" s="12" t="s">
        <v>106</v>
      </c>
      <c r="AC116" s="3">
        <v>25</v>
      </c>
      <c r="AD116" s="13" t="s">
        <v>647</v>
      </c>
      <c r="AE116" s="36">
        <v>10</v>
      </c>
    </row>
    <row r="117" spans="1:31" x14ac:dyDescent="0.15">
      <c r="A117" s="42" t="s">
        <v>30</v>
      </c>
      <c r="C117" s="24">
        <v>1</v>
      </c>
      <c r="G117" s="24"/>
      <c r="O117" s="24"/>
      <c r="P117" s="24"/>
      <c r="R117" s="24"/>
      <c r="U117" s="3">
        <v>2</v>
      </c>
      <c r="V117" s="24"/>
      <c r="W117" s="24"/>
      <c r="X117" s="3">
        <v>100</v>
      </c>
      <c r="Y117" s="2" t="s">
        <v>87</v>
      </c>
      <c r="Z117" s="8">
        <v>12.5</v>
      </c>
      <c r="AA117" s="48">
        <v>0.8</v>
      </c>
      <c r="AB117" s="12" t="s">
        <v>85</v>
      </c>
      <c r="AC117" s="3">
        <v>25</v>
      </c>
      <c r="AD117" s="13" t="s">
        <v>647</v>
      </c>
      <c r="AE117" s="36">
        <v>6</v>
      </c>
    </row>
    <row r="118" spans="1:31" x14ac:dyDescent="0.15">
      <c r="A118" s="42" t="s">
        <v>30</v>
      </c>
      <c r="C118" s="24"/>
      <c r="G118" s="24"/>
      <c r="O118" s="24"/>
      <c r="P118" s="24"/>
      <c r="R118" s="24"/>
      <c r="S118" s="3">
        <v>2</v>
      </c>
      <c r="V118" s="24"/>
      <c r="W118" s="24"/>
      <c r="X118" s="3">
        <v>102</v>
      </c>
      <c r="Y118" s="2" t="s">
        <v>154</v>
      </c>
      <c r="Z118" s="4">
        <v>2.7000000000000001E-3</v>
      </c>
      <c r="AA118" s="47"/>
      <c r="AB118" s="12">
        <v>4.8</v>
      </c>
      <c r="AC118" s="3">
        <v>25</v>
      </c>
      <c r="AD118" s="13" t="s">
        <v>668</v>
      </c>
      <c r="AE118" s="36">
        <v>19</v>
      </c>
    </row>
    <row r="119" spans="1:31" x14ac:dyDescent="0.15">
      <c r="A119" s="42" t="s">
        <v>30</v>
      </c>
      <c r="B119" s="3">
        <v>1</v>
      </c>
      <c r="C119" s="24"/>
      <c r="G119" s="24"/>
      <c r="O119" s="24"/>
      <c r="P119" s="24"/>
      <c r="R119" s="24"/>
      <c r="V119" s="24">
        <v>2</v>
      </c>
      <c r="W119" s="24" t="s">
        <v>62</v>
      </c>
      <c r="X119" s="3">
        <v>110</v>
      </c>
      <c r="Y119" s="2" t="s">
        <v>104</v>
      </c>
      <c r="Z119" s="6">
        <v>4</v>
      </c>
      <c r="AA119" s="46">
        <v>0.32</v>
      </c>
      <c r="AB119" s="12" t="s">
        <v>651</v>
      </c>
      <c r="AC119" s="3">
        <v>25</v>
      </c>
      <c r="AD119" s="13" t="s">
        <v>647</v>
      </c>
      <c r="AE119" s="36">
        <v>10</v>
      </c>
    </row>
    <row r="120" spans="1:31" x14ac:dyDescent="0.15">
      <c r="A120" s="42" t="s">
        <v>30</v>
      </c>
      <c r="B120" s="3">
        <v>1</v>
      </c>
      <c r="C120" s="24"/>
      <c r="D120" s="3">
        <v>1</v>
      </c>
      <c r="G120" s="24">
        <v>1</v>
      </c>
      <c r="O120" s="24"/>
      <c r="P120" s="24"/>
      <c r="R120" s="24"/>
      <c r="V120" s="24">
        <v>1</v>
      </c>
      <c r="W120" s="24"/>
      <c r="X120" s="3">
        <v>114</v>
      </c>
      <c r="Y120" s="2" t="s">
        <v>641</v>
      </c>
      <c r="Z120" s="5">
        <v>490</v>
      </c>
      <c r="AA120" s="9">
        <v>25</v>
      </c>
      <c r="AB120" s="12">
        <v>6.5</v>
      </c>
      <c r="AC120" s="3">
        <v>25</v>
      </c>
      <c r="AD120" s="13" t="s">
        <v>46</v>
      </c>
      <c r="AE120" s="36">
        <v>2</v>
      </c>
    </row>
    <row r="121" spans="1:31" x14ac:dyDescent="0.15">
      <c r="A121" s="42" t="s">
        <v>30</v>
      </c>
      <c r="B121" s="3">
        <v>1</v>
      </c>
      <c r="C121" s="24"/>
      <c r="G121" s="24"/>
      <c r="O121" s="24"/>
      <c r="P121" s="24"/>
      <c r="R121" s="24"/>
      <c r="V121" s="24">
        <v>1</v>
      </c>
      <c r="W121" s="24"/>
      <c r="X121" s="3">
        <v>119</v>
      </c>
      <c r="Y121" s="2" t="s">
        <v>635</v>
      </c>
      <c r="Z121" s="5">
        <v>232</v>
      </c>
      <c r="AA121" s="9">
        <v>11</v>
      </c>
      <c r="AB121" s="12">
        <v>6.5</v>
      </c>
      <c r="AC121" s="3">
        <v>25</v>
      </c>
      <c r="AD121" s="13" t="s">
        <v>46</v>
      </c>
      <c r="AE121" s="36">
        <v>2</v>
      </c>
    </row>
    <row r="122" spans="1:31" x14ac:dyDescent="0.15">
      <c r="A122" s="42" t="s">
        <v>30</v>
      </c>
      <c r="C122" s="24"/>
      <c r="G122" s="24"/>
      <c r="O122" s="24"/>
      <c r="P122" s="24"/>
      <c r="R122" s="24"/>
      <c r="U122" s="3">
        <v>1</v>
      </c>
      <c r="V122" s="24"/>
      <c r="W122" s="24"/>
      <c r="X122" s="3">
        <v>120</v>
      </c>
      <c r="Y122" s="2" t="s">
        <v>67</v>
      </c>
      <c r="Z122" s="4">
        <v>1.8799999999999999E-3</v>
      </c>
      <c r="AA122" s="47"/>
      <c r="AB122" s="12">
        <v>4.5999999999999996</v>
      </c>
      <c r="AC122" s="3">
        <v>20</v>
      </c>
      <c r="AD122" s="13" t="s">
        <v>66</v>
      </c>
      <c r="AE122" s="36">
        <v>3</v>
      </c>
    </row>
    <row r="123" spans="1:31" x14ac:dyDescent="0.15">
      <c r="A123" s="42" t="s">
        <v>30</v>
      </c>
      <c r="B123" s="3">
        <v>1</v>
      </c>
      <c r="C123" s="24"/>
      <c r="G123" s="24"/>
      <c r="O123" s="24"/>
      <c r="P123" s="24"/>
      <c r="R123" s="24"/>
      <c r="V123" s="24">
        <v>2</v>
      </c>
      <c r="W123" s="24" t="s">
        <v>109</v>
      </c>
      <c r="X123" s="3">
        <v>124</v>
      </c>
      <c r="Y123" s="2" t="s">
        <v>105</v>
      </c>
      <c r="Z123" s="7">
        <v>3.6999999999999998E-2</v>
      </c>
      <c r="AA123" s="45">
        <v>2.96E-3</v>
      </c>
      <c r="AB123" s="12" t="s">
        <v>657</v>
      </c>
      <c r="AC123" s="3">
        <v>25</v>
      </c>
      <c r="AD123" s="13" t="s">
        <v>647</v>
      </c>
      <c r="AE123" s="36">
        <v>10</v>
      </c>
    </row>
    <row r="124" spans="1:31" x14ac:dyDescent="0.15">
      <c r="A124" s="42" t="s">
        <v>30</v>
      </c>
      <c r="B124" s="3">
        <v>1</v>
      </c>
      <c r="C124" s="24"/>
      <c r="G124" s="24"/>
      <c r="O124" s="24"/>
      <c r="P124" s="24"/>
      <c r="R124" s="24"/>
      <c r="V124" s="24">
        <v>2</v>
      </c>
      <c r="W124" s="24" t="s">
        <v>108</v>
      </c>
      <c r="X124" s="3">
        <v>125</v>
      </c>
      <c r="Y124" s="2" t="s">
        <v>103</v>
      </c>
      <c r="Z124" s="6">
        <v>3.7</v>
      </c>
      <c r="AA124" s="46">
        <v>0.29600000000000004</v>
      </c>
      <c r="AB124" s="12" t="s">
        <v>656</v>
      </c>
      <c r="AC124" s="3">
        <v>25</v>
      </c>
      <c r="AD124" s="13" t="s">
        <v>647</v>
      </c>
      <c r="AE124" s="36">
        <v>10</v>
      </c>
    </row>
    <row r="125" spans="1:31" x14ac:dyDescent="0.15">
      <c r="A125" s="42" t="s">
        <v>30</v>
      </c>
      <c r="C125" s="24"/>
      <c r="G125" s="24"/>
      <c r="O125" s="24"/>
      <c r="P125" s="24"/>
      <c r="R125" s="24"/>
      <c r="T125" s="3">
        <v>1</v>
      </c>
      <c r="V125" s="24"/>
      <c r="W125" s="24"/>
      <c r="X125" s="3">
        <v>128</v>
      </c>
      <c r="Y125" s="2" t="s">
        <v>73</v>
      </c>
      <c r="Z125" s="4">
        <v>8.9999999999999998E-4</v>
      </c>
      <c r="AA125" s="47"/>
      <c r="AB125" s="12">
        <v>4.5999999999999996</v>
      </c>
      <c r="AC125" s="3">
        <v>20</v>
      </c>
      <c r="AD125" s="13" t="s">
        <v>66</v>
      </c>
      <c r="AE125" s="36">
        <v>3</v>
      </c>
    </row>
    <row r="126" spans="1:31" x14ac:dyDescent="0.15">
      <c r="A126" s="42" t="s">
        <v>30</v>
      </c>
      <c r="B126" s="3">
        <v>1</v>
      </c>
      <c r="C126" s="24"/>
      <c r="G126" s="24"/>
      <c r="O126" s="24"/>
      <c r="P126" s="24"/>
      <c r="R126" s="24"/>
      <c r="V126" s="24">
        <v>2</v>
      </c>
      <c r="W126" s="24"/>
      <c r="X126" s="3">
        <v>130</v>
      </c>
      <c r="Y126" s="2" t="s">
        <v>542</v>
      </c>
      <c r="Z126" s="8">
        <v>54</v>
      </c>
      <c r="AA126" s="48">
        <v>4.32</v>
      </c>
      <c r="AB126" s="12" t="s">
        <v>650</v>
      </c>
      <c r="AC126" s="3">
        <v>25</v>
      </c>
      <c r="AD126" s="13" t="s">
        <v>81</v>
      </c>
      <c r="AE126" s="36">
        <v>7</v>
      </c>
    </row>
    <row r="127" spans="1:31" x14ac:dyDescent="0.15">
      <c r="A127" s="42" t="s">
        <v>30</v>
      </c>
      <c r="C127" s="24"/>
      <c r="D127" s="3">
        <v>1</v>
      </c>
      <c r="G127" s="24">
        <v>2</v>
      </c>
      <c r="O127" s="24"/>
      <c r="P127" s="24"/>
      <c r="R127" s="24"/>
      <c r="V127" s="24"/>
      <c r="W127" s="24"/>
      <c r="X127" s="3">
        <v>137</v>
      </c>
      <c r="Y127" s="2" t="s">
        <v>126</v>
      </c>
      <c r="Z127" s="7">
        <v>4.9499999999999995E-3</v>
      </c>
      <c r="AA127" s="47">
        <v>1.4849242404917501E-3</v>
      </c>
      <c r="AB127" s="12" t="s">
        <v>768</v>
      </c>
      <c r="AC127" s="3" t="s">
        <v>763</v>
      </c>
      <c r="AD127" s="13" t="s">
        <v>754</v>
      </c>
      <c r="AE127" s="36" t="s">
        <v>769</v>
      </c>
    </row>
    <row r="128" spans="1:31" x14ac:dyDescent="0.15">
      <c r="A128" s="42" t="s">
        <v>30</v>
      </c>
      <c r="B128" s="3">
        <v>1</v>
      </c>
      <c r="C128" s="24"/>
      <c r="G128" s="24"/>
      <c r="O128" s="24"/>
      <c r="P128" s="24"/>
      <c r="R128" s="24"/>
      <c r="V128" s="24">
        <v>2</v>
      </c>
      <c r="W128" s="24"/>
      <c r="X128" s="3">
        <v>141</v>
      </c>
      <c r="Y128" s="2" t="s">
        <v>543</v>
      </c>
      <c r="Z128" s="3">
        <v>1180</v>
      </c>
      <c r="AA128" s="9">
        <v>70.8</v>
      </c>
      <c r="AB128" s="12" t="s">
        <v>83</v>
      </c>
      <c r="AC128" s="3">
        <v>25</v>
      </c>
      <c r="AD128" s="13" t="s">
        <v>647</v>
      </c>
      <c r="AE128" s="36">
        <v>5</v>
      </c>
    </row>
    <row r="129" spans="1:31" x14ac:dyDescent="0.15">
      <c r="A129" s="42" t="s">
        <v>30</v>
      </c>
      <c r="C129" s="24"/>
      <c r="G129" s="24"/>
      <c r="H129" s="3">
        <v>2</v>
      </c>
      <c r="I129" s="3">
        <v>1</v>
      </c>
      <c r="J129" s="3">
        <v>2</v>
      </c>
      <c r="K129" s="3">
        <v>2</v>
      </c>
      <c r="N129" s="3">
        <v>2</v>
      </c>
      <c r="O129" s="24"/>
      <c r="P129" s="24"/>
      <c r="R129" s="24"/>
      <c r="S129" s="3">
        <v>1</v>
      </c>
      <c r="V129" s="24"/>
      <c r="W129" s="24"/>
      <c r="X129" s="3">
        <v>143</v>
      </c>
      <c r="Y129" s="2" t="s">
        <v>473</v>
      </c>
      <c r="Z129" s="6">
        <v>2.7</v>
      </c>
      <c r="AA129" s="46">
        <v>0.2</v>
      </c>
      <c r="AB129" s="12">
        <v>5.6</v>
      </c>
      <c r="AC129" s="3">
        <v>23</v>
      </c>
      <c r="AD129" s="13" t="s">
        <v>148</v>
      </c>
      <c r="AE129" s="36">
        <v>73</v>
      </c>
    </row>
    <row r="130" spans="1:31" x14ac:dyDescent="0.15">
      <c r="A130" s="42" t="s">
        <v>30</v>
      </c>
      <c r="C130" s="24"/>
      <c r="G130" s="24"/>
      <c r="O130" s="24"/>
      <c r="P130" s="24"/>
      <c r="R130" s="24"/>
      <c r="S130" s="3">
        <v>1</v>
      </c>
      <c r="U130" s="3">
        <v>1</v>
      </c>
      <c r="V130" s="24"/>
      <c r="W130" s="24"/>
      <c r="X130" s="3">
        <v>145</v>
      </c>
      <c r="Y130" s="2" t="s">
        <v>153</v>
      </c>
      <c r="Z130" s="7">
        <v>3.1E-2</v>
      </c>
      <c r="AA130" s="45"/>
      <c r="AB130" s="12">
        <v>4.8</v>
      </c>
      <c r="AC130" s="3">
        <v>25</v>
      </c>
      <c r="AD130" s="13" t="s">
        <v>668</v>
      </c>
      <c r="AE130" s="36">
        <v>19</v>
      </c>
    </row>
    <row r="131" spans="1:31" x14ac:dyDescent="0.15">
      <c r="A131" s="42" t="s">
        <v>30</v>
      </c>
      <c r="C131" s="24"/>
      <c r="G131" s="24"/>
      <c r="O131" s="24"/>
      <c r="P131" s="24"/>
      <c r="R131" s="24"/>
      <c r="U131" s="3">
        <v>1</v>
      </c>
      <c r="V131" s="24"/>
      <c r="W131" s="24"/>
      <c r="X131" s="3">
        <v>150</v>
      </c>
      <c r="Y131" s="2" t="s">
        <v>74</v>
      </c>
      <c r="Z131" s="4">
        <v>2.8999999999999998E-3</v>
      </c>
      <c r="AA131" s="47"/>
      <c r="AB131" s="12">
        <v>4.5999999999999996</v>
      </c>
      <c r="AC131" s="3">
        <v>30</v>
      </c>
      <c r="AD131" s="13" t="s">
        <v>66</v>
      </c>
      <c r="AE131" s="36">
        <v>3</v>
      </c>
    </row>
    <row r="132" spans="1:31" x14ac:dyDescent="0.15">
      <c r="A132" s="42" t="s">
        <v>30</v>
      </c>
      <c r="C132" s="24"/>
      <c r="G132" s="24"/>
      <c r="O132" s="24"/>
      <c r="P132" s="24"/>
      <c r="R132" s="24"/>
      <c r="U132" s="3">
        <v>1</v>
      </c>
      <c r="V132" s="24">
        <v>1</v>
      </c>
      <c r="W132" s="24"/>
      <c r="X132" s="3">
        <v>152</v>
      </c>
      <c r="Y132" s="2" t="s">
        <v>633</v>
      </c>
      <c r="Z132" s="6">
        <v>2</v>
      </c>
      <c r="AA132" s="46"/>
      <c r="AB132" s="12">
        <v>13</v>
      </c>
      <c r="AC132" s="3">
        <v>25</v>
      </c>
      <c r="AD132" s="13" t="s">
        <v>22</v>
      </c>
      <c r="AE132" s="36">
        <v>1</v>
      </c>
    </row>
    <row r="133" spans="1:31" x14ac:dyDescent="0.15">
      <c r="A133" s="42" t="s">
        <v>30</v>
      </c>
      <c r="B133" s="3">
        <v>1</v>
      </c>
      <c r="C133" s="24"/>
      <c r="G133" s="24"/>
      <c r="O133" s="24"/>
      <c r="P133" s="24"/>
      <c r="R133" s="24"/>
      <c r="V133" s="24">
        <v>2</v>
      </c>
      <c r="W133" s="24"/>
      <c r="X133" s="3">
        <v>157</v>
      </c>
      <c r="Y133" s="2" t="s">
        <v>544</v>
      </c>
      <c r="Z133" s="3">
        <v>1000</v>
      </c>
      <c r="AA133" s="24">
        <v>60</v>
      </c>
      <c r="AB133" s="12" t="s">
        <v>82</v>
      </c>
      <c r="AC133" s="3">
        <v>25</v>
      </c>
      <c r="AD133" s="13" t="s">
        <v>647</v>
      </c>
      <c r="AE133" s="36">
        <v>5</v>
      </c>
    </row>
    <row r="134" spans="1:31" x14ac:dyDescent="0.15">
      <c r="A134" s="42" t="s">
        <v>30</v>
      </c>
      <c r="B134" s="3">
        <v>1</v>
      </c>
      <c r="C134" s="24"/>
      <c r="G134" s="24"/>
      <c r="O134" s="24"/>
      <c r="P134" s="24"/>
      <c r="R134" s="24"/>
      <c r="V134" s="24">
        <v>2</v>
      </c>
      <c r="W134" s="24"/>
      <c r="X134" s="3">
        <v>162</v>
      </c>
      <c r="Y134" s="2" t="s">
        <v>545</v>
      </c>
      <c r="Z134" s="8">
        <v>98</v>
      </c>
      <c r="AA134" s="48">
        <v>7.84</v>
      </c>
      <c r="AB134" s="12" t="s">
        <v>649</v>
      </c>
      <c r="AC134" s="3">
        <v>25</v>
      </c>
      <c r="AD134" s="13" t="s">
        <v>81</v>
      </c>
      <c r="AE134" s="36">
        <v>7</v>
      </c>
    </row>
    <row r="135" spans="1:31" x14ac:dyDescent="0.15">
      <c r="A135" s="42" t="s">
        <v>30</v>
      </c>
      <c r="B135" s="3">
        <v>1</v>
      </c>
      <c r="C135" s="24"/>
      <c r="G135" s="24"/>
      <c r="O135" s="24"/>
      <c r="P135" s="24"/>
      <c r="R135" s="24"/>
      <c r="V135" s="24">
        <v>2</v>
      </c>
      <c r="W135" s="24"/>
      <c r="X135" s="3">
        <v>163</v>
      </c>
      <c r="Y135" s="2" t="s">
        <v>546</v>
      </c>
      <c r="Z135" s="5">
        <v>310</v>
      </c>
      <c r="AA135" s="9">
        <v>24.8</v>
      </c>
      <c r="AB135" s="12" t="s">
        <v>651</v>
      </c>
      <c r="AC135" s="3">
        <v>25</v>
      </c>
      <c r="AD135" s="13" t="s">
        <v>81</v>
      </c>
      <c r="AE135" s="36">
        <v>7</v>
      </c>
    </row>
    <row r="136" spans="1:31" x14ac:dyDescent="0.15">
      <c r="A136" s="42" t="s">
        <v>30</v>
      </c>
      <c r="B136" s="3">
        <v>1</v>
      </c>
      <c r="C136" s="24"/>
      <c r="G136" s="24"/>
      <c r="O136" s="24"/>
      <c r="P136" s="24"/>
      <c r="R136" s="24"/>
      <c r="V136" s="24">
        <v>1</v>
      </c>
      <c r="W136" s="24"/>
      <c r="X136" s="3">
        <v>178</v>
      </c>
      <c r="Y136" s="2" t="s">
        <v>644</v>
      </c>
      <c r="Z136" s="5">
        <v>70</v>
      </c>
      <c r="AA136" s="48"/>
      <c r="AB136" s="12">
        <v>13</v>
      </c>
      <c r="AC136" s="3">
        <v>25</v>
      </c>
      <c r="AD136" s="13" t="s">
        <v>47</v>
      </c>
      <c r="AE136" s="36">
        <v>2</v>
      </c>
    </row>
    <row r="137" spans="1:31" x14ac:dyDescent="0.15">
      <c r="A137" s="42" t="s">
        <v>30</v>
      </c>
      <c r="C137" s="24"/>
      <c r="D137" s="3">
        <v>1</v>
      </c>
      <c r="G137" s="24">
        <v>2</v>
      </c>
      <c r="O137" s="24"/>
      <c r="P137" s="24"/>
      <c r="R137" s="24"/>
      <c r="U137" s="3">
        <v>1</v>
      </c>
      <c r="V137" s="24"/>
      <c r="W137" s="24"/>
      <c r="X137" s="3">
        <v>183</v>
      </c>
      <c r="Y137" s="2" t="s">
        <v>128</v>
      </c>
      <c r="Z137" s="7">
        <v>2.1299999999999999E-2</v>
      </c>
      <c r="AA137" s="46"/>
      <c r="AB137" s="12">
        <v>7</v>
      </c>
      <c r="AC137" s="3">
        <v>25</v>
      </c>
      <c r="AD137" s="13" t="s">
        <v>127</v>
      </c>
      <c r="AE137" s="36">
        <v>14</v>
      </c>
    </row>
    <row r="138" spans="1:31" x14ac:dyDescent="0.15">
      <c r="A138" s="42" t="s">
        <v>30</v>
      </c>
      <c r="C138" s="24">
        <v>1</v>
      </c>
      <c r="D138" s="3">
        <v>1</v>
      </c>
      <c r="G138" s="24"/>
      <c r="O138" s="24"/>
      <c r="P138" s="24"/>
      <c r="R138" s="24"/>
      <c r="V138" s="24">
        <v>1</v>
      </c>
      <c r="W138" s="24"/>
      <c r="X138" s="3">
        <v>185</v>
      </c>
      <c r="Y138" s="2" t="s">
        <v>654</v>
      </c>
      <c r="Z138" s="8">
        <v>11.6</v>
      </c>
      <c r="AA138" s="48">
        <v>0.57999999999999996</v>
      </c>
      <c r="AB138" s="12">
        <v>3.77</v>
      </c>
      <c r="AC138" s="3">
        <v>25</v>
      </c>
      <c r="AD138" s="13" t="s">
        <v>647</v>
      </c>
      <c r="AE138" s="36">
        <v>9</v>
      </c>
    </row>
    <row r="139" spans="1:31" x14ac:dyDescent="0.15">
      <c r="A139" s="42" t="s">
        <v>30</v>
      </c>
      <c r="C139" s="24">
        <v>1</v>
      </c>
      <c r="G139" s="24"/>
      <c r="O139" s="24"/>
      <c r="P139" s="24"/>
      <c r="R139" s="24"/>
      <c r="U139" s="3">
        <v>1</v>
      </c>
      <c r="V139" s="24"/>
      <c r="W139" s="24"/>
      <c r="X139" s="3">
        <v>188</v>
      </c>
      <c r="Y139" s="2" t="s">
        <v>86</v>
      </c>
      <c r="Z139" s="8">
        <v>10</v>
      </c>
      <c r="AA139" s="48">
        <v>0.2</v>
      </c>
      <c r="AB139" s="12" t="s">
        <v>85</v>
      </c>
      <c r="AC139" s="3">
        <v>25</v>
      </c>
      <c r="AD139" s="13" t="s">
        <v>647</v>
      </c>
      <c r="AE139" s="36">
        <v>6</v>
      </c>
    </row>
    <row r="140" spans="1:31" x14ac:dyDescent="0.15">
      <c r="A140" s="42" t="s">
        <v>30</v>
      </c>
      <c r="C140" s="24">
        <v>1</v>
      </c>
      <c r="G140" s="24"/>
      <c r="O140" s="24"/>
      <c r="P140" s="24"/>
      <c r="R140" s="24"/>
      <c r="V140" s="24"/>
      <c r="W140" s="24" t="s">
        <v>61</v>
      </c>
      <c r="X140" s="3">
        <v>189</v>
      </c>
      <c r="Y140" s="2" t="s">
        <v>89</v>
      </c>
      <c r="Z140" s="8">
        <v>11.5</v>
      </c>
      <c r="AA140" s="48"/>
      <c r="AB140" s="12">
        <v>1</v>
      </c>
      <c r="AC140" s="3">
        <v>25</v>
      </c>
      <c r="AD140" s="13" t="s">
        <v>648</v>
      </c>
      <c r="AE140" s="36">
        <v>6</v>
      </c>
    </row>
    <row r="141" spans="1:31" x14ac:dyDescent="0.15">
      <c r="A141" s="42" t="s">
        <v>30</v>
      </c>
      <c r="C141" s="24">
        <v>1</v>
      </c>
      <c r="G141" s="24"/>
      <c r="O141" s="24"/>
      <c r="P141" s="24"/>
      <c r="R141" s="24"/>
      <c r="V141" s="24"/>
      <c r="W141" s="24" t="s">
        <v>62</v>
      </c>
      <c r="X141" s="3">
        <v>190</v>
      </c>
      <c r="Y141" s="2" t="s">
        <v>88</v>
      </c>
      <c r="Z141" s="8">
        <v>11.5</v>
      </c>
      <c r="AA141" s="48"/>
      <c r="AB141" s="12">
        <v>1</v>
      </c>
      <c r="AC141" s="3">
        <v>25</v>
      </c>
      <c r="AD141" s="13" t="s">
        <v>648</v>
      </c>
      <c r="AE141" s="36">
        <v>6</v>
      </c>
    </row>
    <row r="142" spans="1:31" x14ac:dyDescent="0.15">
      <c r="A142" s="42" t="s">
        <v>30</v>
      </c>
      <c r="C142" s="24">
        <v>1</v>
      </c>
      <c r="G142" s="24"/>
      <c r="O142" s="24"/>
      <c r="P142" s="24"/>
      <c r="R142" s="24"/>
      <c r="V142" s="24">
        <v>1</v>
      </c>
      <c r="W142" s="24"/>
      <c r="X142" s="3">
        <v>191</v>
      </c>
      <c r="Y142" s="2" t="s">
        <v>653</v>
      </c>
      <c r="Z142" s="8">
        <v>43.2</v>
      </c>
      <c r="AA142" s="48">
        <v>2.16</v>
      </c>
      <c r="AB142" s="12">
        <v>3.77</v>
      </c>
      <c r="AC142" s="3">
        <v>25</v>
      </c>
      <c r="AD142" s="13" t="s">
        <v>647</v>
      </c>
      <c r="AE142" s="36">
        <v>9</v>
      </c>
    </row>
    <row r="143" spans="1:31" x14ac:dyDescent="0.15">
      <c r="A143" s="42" t="s">
        <v>30</v>
      </c>
      <c r="C143" s="24"/>
      <c r="G143" s="24"/>
      <c r="O143" s="24"/>
      <c r="P143" s="24"/>
      <c r="R143" s="24"/>
      <c r="S143" s="3">
        <v>2</v>
      </c>
      <c r="V143" s="24"/>
      <c r="W143" s="24"/>
      <c r="X143" s="3">
        <v>193</v>
      </c>
      <c r="Y143" s="2" t="s">
        <v>26</v>
      </c>
      <c r="Z143" s="5">
        <v>648.66666666666663</v>
      </c>
      <c r="AA143" s="9"/>
      <c r="AB143" s="12">
        <v>13</v>
      </c>
      <c r="AC143" s="3">
        <v>25</v>
      </c>
      <c r="AD143" s="13" t="s">
        <v>22</v>
      </c>
      <c r="AE143" s="36">
        <v>1</v>
      </c>
    </row>
    <row r="144" spans="1:31" x14ac:dyDescent="0.15">
      <c r="A144" s="42" t="s">
        <v>30</v>
      </c>
      <c r="C144" s="24"/>
      <c r="G144" s="24"/>
      <c r="O144" s="24"/>
      <c r="P144" s="24"/>
      <c r="R144" s="24"/>
      <c r="S144" s="3">
        <v>1</v>
      </c>
      <c r="V144" s="24">
        <v>1</v>
      </c>
      <c r="W144" s="24"/>
      <c r="X144" s="3">
        <v>194</v>
      </c>
      <c r="Y144" s="2" t="s">
        <v>632</v>
      </c>
      <c r="Z144" s="5">
        <v>275</v>
      </c>
      <c r="AA144" s="9"/>
      <c r="AB144" s="12">
        <v>13</v>
      </c>
      <c r="AC144" s="3">
        <v>25</v>
      </c>
      <c r="AD144" s="13" t="s">
        <v>22</v>
      </c>
      <c r="AE144" s="36">
        <v>1</v>
      </c>
    </row>
    <row r="145" spans="1:31" x14ac:dyDescent="0.15">
      <c r="A145" s="42" t="s">
        <v>30</v>
      </c>
      <c r="B145" s="3">
        <v>2</v>
      </c>
      <c r="C145" s="24"/>
      <c r="G145" s="24"/>
      <c r="O145" s="24"/>
      <c r="P145" s="24"/>
      <c r="R145" s="24"/>
      <c r="V145" s="24">
        <v>1</v>
      </c>
      <c r="W145" s="24"/>
      <c r="X145" s="3">
        <v>199</v>
      </c>
      <c r="Y145" s="2" t="s">
        <v>890</v>
      </c>
      <c r="Z145" s="5">
        <v>455.8</v>
      </c>
      <c r="AA145" s="9">
        <v>4.3</v>
      </c>
      <c r="AB145" s="12">
        <v>7</v>
      </c>
      <c r="AC145" s="3">
        <v>20</v>
      </c>
      <c r="AD145" s="13" t="s">
        <v>262</v>
      </c>
      <c r="AE145" s="36">
        <v>32</v>
      </c>
    </row>
    <row r="146" spans="1:31" x14ac:dyDescent="0.15">
      <c r="A146" s="42" t="s">
        <v>30</v>
      </c>
      <c r="B146" s="3">
        <v>1</v>
      </c>
      <c r="C146" s="24"/>
      <c r="G146" s="24"/>
      <c r="J146" s="3">
        <v>2</v>
      </c>
      <c r="O146" s="24"/>
      <c r="P146" s="24"/>
      <c r="R146" s="24"/>
      <c r="S146" s="3">
        <v>2</v>
      </c>
      <c r="V146" s="24"/>
      <c r="W146" s="24"/>
      <c r="X146" s="3">
        <v>214</v>
      </c>
      <c r="Y146" s="2" t="s">
        <v>113</v>
      </c>
      <c r="Z146" s="6">
        <v>1.93</v>
      </c>
      <c r="AA146" s="46"/>
      <c r="AB146" s="12">
        <v>6.7</v>
      </c>
      <c r="AC146" s="3">
        <v>25</v>
      </c>
      <c r="AD146" s="13" t="s">
        <v>112</v>
      </c>
      <c r="AE146" s="36">
        <v>11</v>
      </c>
    </row>
    <row r="147" spans="1:31" x14ac:dyDescent="0.15">
      <c r="A147" s="70" t="s">
        <v>30</v>
      </c>
      <c r="B147" s="16">
        <v>1</v>
      </c>
      <c r="C147" s="76"/>
      <c r="D147" s="16"/>
      <c r="E147" s="16"/>
      <c r="F147" s="16"/>
      <c r="G147" s="76"/>
      <c r="H147" s="16"/>
      <c r="I147" s="16"/>
      <c r="J147" s="16"/>
      <c r="K147" s="16"/>
      <c r="L147" s="16"/>
      <c r="M147" s="16"/>
      <c r="N147" s="16"/>
      <c r="O147" s="76"/>
      <c r="P147" s="76"/>
      <c r="Q147" s="16"/>
      <c r="R147" s="76"/>
      <c r="S147" s="16">
        <v>1</v>
      </c>
      <c r="T147" s="16">
        <v>1</v>
      </c>
      <c r="U147" s="16"/>
      <c r="V147" s="76"/>
      <c r="W147" s="76"/>
      <c r="X147" s="16">
        <v>216</v>
      </c>
      <c r="Y147" s="15" t="s">
        <v>636</v>
      </c>
      <c r="Z147" s="17">
        <v>111</v>
      </c>
      <c r="AA147" s="18">
        <v>6</v>
      </c>
      <c r="AB147" s="71">
        <v>13</v>
      </c>
      <c r="AC147" s="16">
        <v>25</v>
      </c>
      <c r="AD147" s="72" t="s">
        <v>47</v>
      </c>
      <c r="AE147" s="73">
        <v>2</v>
      </c>
    </row>
  </sheetData>
  <sortState xmlns:xlrd2="http://schemas.microsoft.com/office/spreadsheetml/2017/richdata2" ref="A5:AE147">
    <sortCondition ref="A5:A147"/>
  </sortState>
  <mergeCells count="7">
    <mergeCell ref="AB3:AD3"/>
    <mergeCell ref="B2:W2"/>
    <mergeCell ref="B3:C3"/>
    <mergeCell ref="D3:G3"/>
    <mergeCell ref="H3:O3"/>
    <mergeCell ref="Q3:R3"/>
    <mergeCell ref="S3:V3"/>
  </mergeCells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A7DD-34F2-384E-A71B-272F9D21A478}">
  <dimension ref="A1:AM115"/>
  <sheetViews>
    <sheetView topLeftCell="A2" zoomScaleNormal="100" workbookViewId="0">
      <selection activeCell="D15" sqref="D15"/>
    </sheetView>
  </sheetViews>
  <sheetFormatPr baseColWidth="10" defaultColWidth="8.83203125" defaultRowHeight="14" x14ac:dyDescent="0.15"/>
  <cols>
    <col min="1" max="1" width="12.83203125" style="1" bestFit="1" customWidth="1"/>
    <col min="2" max="2" width="12.5" style="1" bestFit="1" customWidth="1"/>
    <col min="3" max="3" width="4.83203125" style="3" bestFit="1" customWidth="1"/>
    <col min="4" max="4" width="4.83203125" style="3" customWidth="1"/>
    <col min="5" max="5" width="3.5" style="3" customWidth="1"/>
    <col min="6" max="7" width="3.6640625" style="3" customWidth="1"/>
    <col min="8" max="8" width="3.83203125" style="3" customWidth="1"/>
    <col min="9" max="9" width="5" style="3" customWidth="1"/>
    <col min="10" max="10" width="3.83203125" style="3" bestFit="1" customWidth="1"/>
    <col min="11" max="12" width="5" style="3" bestFit="1" customWidth="1"/>
    <col min="13" max="13" width="5.1640625" style="3" customWidth="1"/>
    <col min="14" max="14" width="4.5" style="3" customWidth="1"/>
    <col min="15" max="15" width="4.6640625" style="3" customWidth="1"/>
    <col min="16" max="16" width="5.1640625" style="3" customWidth="1"/>
    <col min="17" max="17" width="4.33203125" style="3" customWidth="1"/>
    <col min="18" max="18" width="7.83203125" style="3" customWidth="1"/>
    <col min="19" max="19" width="4.33203125" style="3" customWidth="1"/>
    <col min="20" max="20" width="4.5" style="3" customWidth="1"/>
    <col min="21" max="21" width="6" style="3" customWidth="1"/>
    <col min="22" max="22" width="3.33203125" style="3" customWidth="1"/>
    <col min="23" max="23" width="4.83203125" style="3" customWidth="1"/>
    <col min="24" max="24" width="8.5" style="3" bestFit="1" customWidth="1"/>
    <col min="25" max="25" width="5.6640625" style="3" bestFit="1" customWidth="1"/>
    <col min="26" max="26" width="4.1640625" style="3" bestFit="1" customWidth="1"/>
    <col min="27" max="27" width="37.33203125" style="1" customWidth="1"/>
    <col min="28" max="28" width="26.6640625" style="3" bestFit="1" customWidth="1"/>
    <col min="29" max="29" width="11.33203125" style="3" bestFit="1" customWidth="1"/>
    <col min="30" max="30" width="32.83203125" style="5" customWidth="1"/>
    <col min="31" max="31" width="12.5" style="1" bestFit="1" customWidth="1"/>
    <col min="32" max="32" width="14.33203125" style="1" bestFit="1" customWidth="1"/>
    <col min="33" max="34" width="8.83203125" style="1"/>
    <col min="35" max="35" width="12.5" style="1" bestFit="1" customWidth="1"/>
    <col min="36" max="36" width="12.33203125" style="1" bestFit="1" customWidth="1"/>
    <col min="37" max="39" width="8.83203125" style="1"/>
    <col min="40" max="40" width="9.1640625" style="1" bestFit="1" customWidth="1"/>
    <col min="41" max="16384" width="8.83203125" style="1"/>
  </cols>
  <sheetData>
    <row r="1" spans="1:30" x14ac:dyDescent="0.15">
      <c r="A1" s="1" t="s">
        <v>915</v>
      </c>
    </row>
    <row r="2" spans="1:30" x14ac:dyDescent="0.15">
      <c r="A2" s="1" t="s">
        <v>916</v>
      </c>
    </row>
    <row r="3" spans="1:30" x14ac:dyDescent="0.15">
      <c r="A3" s="113" t="s">
        <v>887</v>
      </c>
    </row>
    <row r="4" spans="1:30" x14ac:dyDescent="0.15">
      <c r="A4" s="78" t="s">
        <v>838</v>
      </c>
    </row>
    <row r="5" spans="1:30" x14ac:dyDescent="0.15">
      <c r="A5" s="79" t="s">
        <v>837</v>
      </c>
    </row>
    <row r="6" spans="1:30" x14ac:dyDescent="0.15">
      <c r="A6" s="81" t="s">
        <v>836</v>
      </c>
    </row>
    <row r="7" spans="1:30" x14ac:dyDescent="0.15">
      <c r="A7" s="80" t="s">
        <v>835</v>
      </c>
    </row>
    <row r="9" spans="1:30" x14ac:dyDescent="0.15">
      <c r="A9" s="21"/>
      <c r="B9" s="21"/>
      <c r="C9" s="157" t="s">
        <v>714</v>
      </c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25"/>
      <c r="Z9" s="119"/>
      <c r="AA9" s="114"/>
      <c r="AB9" s="119"/>
      <c r="AC9" s="119"/>
      <c r="AD9" s="126"/>
    </row>
    <row r="10" spans="1:30" ht="28" customHeight="1" x14ac:dyDescent="0.15">
      <c r="A10" s="2"/>
      <c r="B10" s="2"/>
      <c r="C10" s="147" t="s">
        <v>711</v>
      </c>
      <c r="D10" s="148"/>
      <c r="E10" s="147" t="s">
        <v>44</v>
      </c>
      <c r="F10" s="148"/>
      <c r="G10" s="148"/>
      <c r="H10" s="149"/>
      <c r="I10" s="148" t="s">
        <v>710</v>
      </c>
      <c r="J10" s="148"/>
      <c r="K10" s="148"/>
      <c r="L10" s="148"/>
      <c r="M10" s="148"/>
      <c r="N10" s="148"/>
      <c r="O10" s="148"/>
      <c r="P10" s="148"/>
      <c r="Q10" s="84"/>
      <c r="R10" s="165" t="s">
        <v>709</v>
      </c>
      <c r="S10" s="165"/>
      <c r="T10" s="147" t="s">
        <v>708</v>
      </c>
      <c r="U10" s="148"/>
      <c r="V10" s="148"/>
      <c r="W10" s="149"/>
      <c r="X10" s="14"/>
      <c r="Y10" s="43"/>
      <c r="Z10" s="120"/>
      <c r="AA10" s="114"/>
      <c r="AB10" s="119"/>
      <c r="AC10" s="119"/>
      <c r="AD10" s="125" t="s">
        <v>792</v>
      </c>
    </row>
    <row r="11" spans="1:30" x14ac:dyDescent="0.15">
      <c r="A11" s="10" t="s">
        <v>884</v>
      </c>
      <c r="B11" s="87" t="s">
        <v>887</v>
      </c>
      <c r="C11" s="10" t="s">
        <v>35</v>
      </c>
      <c r="D11" s="11" t="s">
        <v>36</v>
      </c>
      <c r="E11" s="116" t="s">
        <v>44</v>
      </c>
      <c r="F11" s="116" t="s">
        <v>15</v>
      </c>
      <c r="G11" s="116" t="s">
        <v>16</v>
      </c>
      <c r="H11" s="116" t="s">
        <v>575</v>
      </c>
      <c r="I11" s="116" t="s">
        <v>17</v>
      </c>
      <c r="J11" s="116" t="s">
        <v>37</v>
      </c>
      <c r="K11" s="116" t="s">
        <v>38</v>
      </c>
      <c r="L11" s="116" t="s">
        <v>39</v>
      </c>
      <c r="M11" s="116" t="s">
        <v>40</v>
      </c>
      <c r="N11" s="116" t="s">
        <v>43</v>
      </c>
      <c r="O11" s="116" t="s">
        <v>41</v>
      </c>
      <c r="P11" s="116" t="s">
        <v>42</v>
      </c>
      <c r="Q11" s="116" t="s">
        <v>713</v>
      </c>
      <c r="R11" s="116" t="s">
        <v>712</v>
      </c>
      <c r="S11" s="116" t="s">
        <v>277</v>
      </c>
      <c r="T11" s="116" t="s">
        <v>32</v>
      </c>
      <c r="U11" s="116" t="s">
        <v>33</v>
      </c>
      <c r="V11" s="116" t="s">
        <v>34</v>
      </c>
      <c r="W11" s="116" t="s">
        <v>31</v>
      </c>
      <c r="X11" s="116" t="s">
        <v>18</v>
      </c>
      <c r="Y11" s="140" t="s">
        <v>548</v>
      </c>
      <c r="Z11" s="89" t="s">
        <v>90</v>
      </c>
      <c r="AA11" s="116" t="s">
        <v>1</v>
      </c>
      <c r="AB11" s="88" t="s">
        <v>2</v>
      </c>
      <c r="AC11" s="88" t="s">
        <v>843</v>
      </c>
      <c r="AD11" s="134" t="s">
        <v>90</v>
      </c>
    </row>
    <row r="12" spans="1:30" x14ac:dyDescent="0.15">
      <c r="A12" s="2" t="s">
        <v>839</v>
      </c>
      <c r="B12" s="1" t="s">
        <v>840</v>
      </c>
      <c r="C12" s="12"/>
      <c r="E12" s="3">
        <v>1</v>
      </c>
      <c r="Y12" s="44">
        <f t="shared" ref="Y12:Y33" si="0">SUM(C12:M12,O12:P12,T12:V12)</f>
        <v>1</v>
      </c>
      <c r="Z12" s="44">
        <v>91</v>
      </c>
      <c r="AA12" s="1" t="s">
        <v>157</v>
      </c>
      <c r="AB12" s="4">
        <v>6.9999999999999999E-6</v>
      </c>
      <c r="AC12" s="4">
        <v>4.2E-7</v>
      </c>
      <c r="AD12" s="36">
        <v>20</v>
      </c>
    </row>
    <row r="13" spans="1:30" x14ac:dyDescent="0.15">
      <c r="A13" s="2" t="s">
        <v>831</v>
      </c>
      <c r="B13" s="1" t="s">
        <v>76</v>
      </c>
      <c r="C13" s="12"/>
      <c r="I13" s="3">
        <v>1</v>
      </c>
      <c r="L13" s="3">
        <v>3</v>
      </c>
      <c r="N13" s="3">
        <v>3</v>
      </c>
      <c r="Y13" s="44">
        <f t="shared" si="0"/>
        <v>4</v>
      </c>
      <c r="Z13" s="44">
        <v>144</v>
      </c>
      <c r="AA13" s="1" t="s">
        <v>184</v>
      </c>
      <c r="AB13" s="4">
        <v>4.0795717592592591E-5</v>
      </c>
      <c r="AC13" s="4">
        <v>1.7031125134828755E-6</v>
      </c>
      <c r="AD13" s="36" t="s">
        <v>770</v>
      </c>
    </row>
    <row r="14" spans="1:30" x14ac:dyDescent="0.15">
      <c r="A14" s="2" t="s">
        <v>832</v>
      </c>
      <c r="B14" s="1" t="s">
        <v>840</v>
      </c>
      <c r="C14" s="12"/>
      <c r="U14" s="3">
        <v>2</v>
      </c>
      <c r="Y14" s="44">
        <f t="shared" si="0"/>
        <v>2</v>
      </c>
      <c r="Z14" s="44">
        <v>8</v>
      </c>
      <c r="AA14" s="1" t="s">
        <v>230</v>
      </c>
      <c r="AB14" s="4">
        <v>4.1900000000000002E-5</v>
      </c>
      <c r="AC14" s="4"/>
      <c r="AD14" s="36">
        <v>31</v>
      </c>
    </row>
    <row r="15" spans="1:30" x14ac:dyDescent="0.15">
      <c r="A15" s="2" t="s">
        <v>832</v>
      </c>
      <c r="B15" s="1" t="s">
        <v>840</v>
      </c>
      <c r="C15" s="12"/>
      <c r="U15" s="3">
        <v>1</v>
      </c>
      <c r="Y15" s="44">
        <f t="shared" si="0"/>
        <v>1</v>
      </c>
      <c r="Z15" s="44">
        <v>161</v>
      </c>
      <c r="AA15" s="1" t="s">
        <v>168</v>
      </c>
      <c r="AB15" s="4">
        <v>6.8053888888888894E-5</v>
      </c>
      <c r="AC15" s="4">
        <v>4.6946390551377521E-5</v>
      </c>
      <c r="AD15" s="36" t="s">
        <v>772</v>
      </c>
    </row>
    <row r="16" spans="1:30" x14ac:dyDescent="0.15">
      <c r="A16" s="2" t="s">
        <v>840</v>
      </c>
      <c r="B16" s="1" t="s">
        <v>840</v>
      </c>
      <c r="C16" s="12"/>
      <c r="X16" s="3" t="s">
        <v>140</v>
      </c>
      <c r="Y16" s="44">
        <f t="shared" si="0"/>
        <v>0</v>
      </c>
      <c r="Z16" s="44">
        <v>109</v>
      </c>
      <c r="AA16" s="1" t="s">
        <v>224</v>
      </c>
      <c r="AB16" s="4">
        <v>1.3200000000000001E-4</v>
      </c>
      <c r="AC16" s="4"/>
      <c r="AD16" s="36">
        <v>31</v>
      </c>
    </row>
    <row r="17" spans="1:30" x14ac:dyDescent="0.15">
      <c r="A17" s="2" t="s">
        <v>575</v>
      </c>
      <c r="B17" s="123" t="s">
        <v>886</v>
      </c>
      <c r="C17" s="12"/>
      <c r="E17" s="3">
        <v>1</v>
      </c>
      <c r="H17" s="3">
        <v>3</v>
      </c>
      <c r="N17" s="3">
        <v>1</v>
      </c>
      <c r="Y17" s="44">
        <f t="shared" si="0"/>
        <v>4</v>
      </c>
      <c r="Z17" s="44">
        <v>65</v>
      </c>
      <c r="AA17" s="1" t="s">
        <v>440</v>
      </c>
      <c r="AB17" s="4">
        <v>1.5555555555555554E-4</v>
      </c>
      <c r="AC17" s="4">
        <v>1.1111111111111108E-5</v>
      </c>
      <c r="AD17" s="36">
        <v>64</v>
      </c>
    </row>
    <row r="18" spans="1:30" x14ac:dyDescent="0.15">
      <c r="A18" s="2" t="s">
        <v>832</v>
      </c>
      <c r="B18" s="1" t="s">
        <v>840</v>
      </c>
      <c r="C18" s="12"/>
      <c r="U18" s="3">
        <v>1</v>
      </c>
      <c r="Y18" s="44">
        <f t="shared" si="0"/>
        <v>1</v>
      </c>
      <c r="Z18" s="44">
        <v>203</v>
      </c>
      <c r="AA18" s="1" t="s">
        <v>237</v>
      </c>
      <c r="AB18" s="4">
        <v>3.3299999999999996E-4</v>
      </c>
      <c r="AC18" s="4">
        <v>7.7781745930520239E-5</v>
      </c>
      <c r="AD18" s="36">
        <v>31</v>
      </c>
    </row>
    <row r="19" spans="1:30" x14ac:dyDescent="0.15">
      <c r="A19" s="2" t="s">
        <v>575</v>
      </c>
      <c r="B19" s="123" t="s">
        <v>886</v>
      </c>
      <c r="C19" s="12"/>
      <c r="E19" s="3">
        <v>1</v>
      </c>
      <c r="H19" s="3">
        <v>3</v>
      </c>
      <c r="Y19" s="44">
        <f t="shared" si="0"/>
        <v>4</v>
      </c>
      <c r="Z19" s="44">
        <v>208</v>
      </c>
      <c r="AA19" s="1" t="s">
        <v>122</v>
      </c>
      <c r="AB19" s="4">
        <v>4.5199999999999998E-4</v>
      </c>
      <c r="AC19" s="4">
        <v>2.7626074639731208E-4</v>
      </c>
      <c r="AD19" s="36" t="s">
        <v>788</v>
      </c>
    </row>
    <row r="20" spans="1:30" x14ac:dyDescent="0.15">
      <c r="A20" s="2" t="s">
        <v>15</v>
      </c>
      <c r="B20" s="1" t="s">
        <v>840</v>
      </c>
      <c r="C20" s="12"/>
      <c r="E20" s="3">
        <v>1</v>
      </c>
      <c r="F20" s="3">
        <v>1</v>
      </c>
      <c r="N20" s="3">
        <v>3</v>
      </c>
      <c r="Y20" s="44">
        <f t="shared" si="0"/>
        <v>2</v>
      </c>
      <c r="Z20" s="44">
        <v>28</v>
      </c>
      <c r="AA20" s="1" t="s">
        <v>519</v>
      </c>
      <c r="AB20" s="4">
        <v>5.6300000000000002E-4</v>
      </c>
      <c r="AC20" s="4"/>
      <c r="AD20" s="36">
        <v>31</v>
      </c>
    </row>
    <row r="21" spans="1:30" x14ac:dyDescent="0.15">
      <c r="A21" s="2" t="s">
        <v>832</v>
      </c>
      <c r="B21" s="1" t="s">
        <v>840</v>
      </c>
      <c r="C21" s="12"/>
      <c r="V21" s="3">
        <v>1</v>
      </c>
      <c r="Y21" s="44">
        <f t="shared" si="0"/>
        <v>1</v>
      </c>
      <c r="Z21" s="44">
        <v>136</v>
      </c>
      <c r="AA21" s="1" t="s">
        <v>69</v>
      </c>
      <c r="AB21" s="4">
        <v>1.16E-3</v>
      </c>
      <c r="AC21" s="4">
        <v>7.2124891681027859E-4</v>
      </c>
      <c r="AD21" s="36" t="s">
        <v>767</v>
      </c>
    </row>
    <row r="22" spans="1:30" x14ac:dyDescent="0.15">
      <c r="A22" s="2" t="s">
        <v>832</v>
      </c>
      <c r="B22" s="1" t="s">
        <v>840</v>
      </c>
      <c r="C22" s="12"/>
      <c r="T22" s="3">
        <v>1</v>
      </c>
      <c r="Y22" s="44">
        <f t="shared" si="0"/>
        <v>1</v>
      </c>
      <c r="Z22" s="44">
        <v>101</v>
      </c>
      <c r="AA22" s="1" t="s">
        <v>233</v>
      </c>
      <c r="AB22" s="4">
        <v>1.7534999999999999E-3</v>
      </c>
      <c r="AC22" s="4">
        <v>1.1971317805488249E-3</v>
      </c>
      <c r="AD22" s="36" t="s">
        <v>749</v>
      </c>
    </row>
    <row r="23" spans="1:30" x14ac:dyDescent="0.15">
      <c r="A23" s="2" t="s">
        <v>839</v>
      </c>
      <c r="B23" s="1" t="s">
        <v>885</v>
      </c>
      <c r="C23" s="12"/>
      <c r="E23" s="3">
        <v>2</v>
      </c>
      <c r="H23" s="3">
        <v>4</v>
      </c>
      <c r="Y23" s="44">
        <f t="shared" si="0"/>
        <v>6</v>
      </c>
      <c r="Z23" s="44">
        <v>76</v>
      </c>
      <c r="AA23" s="1" t="s">
        <v>199</v>
      </c>
      <c r="AB23" s="4">
        <v>2.0999999999999999E-3</v>
      </c>
      <c r="AC23" s="4">
        <v>0.03</v>
      </c>
      <c r="AD23" s="36">
        <v>28</v>
      </c>
    </row>
    <row r="24" spans="1:30" x14ac:dyDescent="0.15">
      <c r="A24" s="2" t="s">
        <v>831</v>
      </c>
      <c r="B24" s="1" t="s">
        <v>885</v>
      </c>
      <c r="C24" s="12"/>
      <c r="E24" s="3">
        <v>1</v>
      </c>
      <c r="I24" s="3">
        <v>1</v>
      </c>
      <c r="L24" s="3">
        <v>1</v>
      </c>
      <c r="W24" s="3">
        <v>1</v>
      </c>
      <c r="X24" s="3" t="s">
        <v>108</v>
      </c>
      <c r="Y24" s="44">
        <f t="shared" si="0"/>
        <v>3</v>
      </c>
      <c r="Z24" s="44">
        <v>195</v>
      </c>
      <c r="AA24" s="1" t="s">
        <v>695</v>
      </c>
      <c r="AB24" s="4">
        <v>3.47E-3</v>
      </c>
      <c r="AC24" s="4"/>
      <c r="AD24" s="36">
        <v>70</v>
      </c>
    </row>
    <row r="25" spans="1:30" x14ac:dyDescent="0.15">
      <c r="A25" s="2" t="s">
        <v>839</v>
      </c>
      <c r="B25" s="1" t="s">
        <v>840</v>
      </c>
      <c r="C25" s="12"/>
      <c r="E25" s="3">
        <v>3</v>
      </c>
      <c r="Y25" s="44">
        <f t="shared" si="0"/>
        <v>3</v>
      </c>
      <c r="Z25" s="44">
        <v>182</v>
      </c>
      <c r="AA25" s="1" t="s">
        <v>197</v>
      </c>
      <c r="AB25" s="4">
        <v>4.1999999999999997E-3</v>
      </c>
      <c r="AC25" s="4">
        <v>0.03</v>
      </c>
      <c r="AD25" s="36">
        <v>28</v>
      </c>
    </row>
    <row r="26" spans="1:30" x14ac:dyDescent="0.15">
      <c r="A26" s="2" t="s">
        <v>839</v>
      </c>
      <c r="B26" s="1" t="s">
        <v>840</v>
      </c>
      <c r="C26" s="12"/>
      <c r="E26" s="3">
        <v>2</v>
      </c>
      <c r="H26" s="3">
        <v>2</v>
      </c>
      <c r="Y26" s="44">
        <f t="shared" si="0"/>
        <v>4</v>
      </c>
      <c r="Z26" s="44">
        <v>140</v>
      </c>
      <c r="AA26" s="1" t="s">
        <v>200</v>
      </c>
      <c r="AB26" s="4">
        <v>4.3E-3</v>
      </c>
      <c r="AC26" s="4">
        <v>0.03</v>
      </c>
      <c r="AD26" s="36">
        <v>28</v>
      </c>
    </row>
    <row r="27" spans="1:30" x14ac:dyDescent="0.15">
      <c r="A27" s="2" t="s">
        <v>831</v>
      </c>
      <c r="B27" s="1" t="s">
        <v>885</v>
      </c>
      <c r="C27" s="12"/>
      <c r="E27" s="3">
        <v>2</v>
      </c>
      <c r="K27" s="3">
        <v>2</v>
      </c>
      <c r="Y27" s="44">
        <f t="shared" si="0"/>
        <v>4</v>
      </c>
      <c r="Z27" s="44">
        <v>106</v>
      </c>
      <c r="AA27" s="1" t="s">
        <v>201</v>
      </c>
      <c r="AB27" s="4">
        <v>4.4000000000000003E-3</v>
      </c>
      <c r="AC27" s="4">
        <v>0.08</v>
      </c>
      <c r="AD27" s="36">
        <v>28</v>
      </c>
    </row>
    <row r="28" spans="1:30" x14ac:dyDescent="0.15">
      <c r="A28" s="2" t="s">
        <v>831</v>
      </c>
      <c r="B28" s="1" t="s">
        <v>76</v>
      </c>
      <c r="C28" s="12"/>
      <c r="I28" s="3">
        <v>1</v>
      </c>
      <c r="K28" s="3">
        <v>1</v>
      </c>
      <c r="L28" s="3">
        <v>3</v>
      </c>
      <c r="N28" s="3">
        <v>1</v>
      </c>
      <c r="O28" s="3">
        <v>2</v>
      </c>
      <c r="X28" s="3" t="s">
        <v>62</v>
      </c>
      <c r="Y28" s="44">
        <f t="shared" si="0"/>
        <v>7</v>
      </c>
      <c r="Z28" s="44">
        <v>147</v>
      </c>
      <c r="AA28" s="1" t="s">
        <v>500</v>
      </c>
      <c r="AB28" s="4">
        <v>5.8300000000000001E-3</v>
      </c>
      <c r="AC28" s="4"/>
      <c r="AD28" s="36">
        <v>78</v>
      </c>
    </row>
    <row r="29" spans="1:30" x14ac:dyDescent="0.15">
      <c r="A29" s="2" t="s">
        <v>575</v>
      </c>
      <c r="B29" s="1" t="s">
        <v>840</v>
      </c>
      <c r="C29" s="12"/>
      <c r="E29" s="3">
        <v>1</v>
      </c>
      <c r="H29" s="3">
        <v>1</v>
      </c>
      <c r="Y29" s="44">
        <f t="shared" si="0"/>
        <v>2</v>
      </c>
      <c r="Z29" s="44">
        <v>151</v>
      </c>
      <c r="AA29" s="1" t="s">
        <v>569</v>
      </c>
      <c r="AB29" s="4">
        <v>6.9499999999999996E-3</v>
      </c>
      <c r="AC29" s="4">
        <v>1.0606601717798216E-3</v>
      </c>
      <c r="AD29" s="36" t="s">
        <v>769</v>
      </c>
    </row>
    <row r="30" spans="1:30" x14ac:dyDescent="0.15">
      <c r="A30" s="2" t="s">
        <v>839</v>
      </c>
      <c r="B30" s="1" t="s">
        <v>840</v>
      </c>
      <c r="C30" s="12"/>
      <c r="E30" s="3">
        <v>2</v>
      </c>
      <c r="Y30" s="44">
        <f t="shared" si="0"/>
        <v>2</v>
      </c>
      <c r="Z30" s="44">
        <v>174</v>
      </c>
      <c r="AA30" s="1" t="s">
        <v>196</v>
      </c>
      <c r="AB30" s="7">
        <v>1.0999999999999999E-2</v>
      </c>
      <c r="AC30" s="7">
        <v>2E-3</v>
      </c>
      <c r="AD30" s="36">
        <v>28</v>
      </c>
    </row>
    <row r="31" spans="1:30" x14ac:dyDescent="0.15">
      <c r="A31" s="2" t="s">
        <v>839</v>
      </c>
      <c r="B31" s="1" t="s">
        <v>840</v>
      </c>
      <c r="C31" s="12"/>
      <c r="E31" s="3">
        <v>4</v>
      </c>
      <c r="Y31" s="44">
        <f t="shared" si="0"/>
        <v>4</v>
      </c>
      <c r="Z31" s="44">
        <v>113</v>
      </c>
      <c r="AA31" s="1" t="s">
        <v>195</v>
      </c>
      <c r="AB31" s="7">
        <v>1.2E-2</v>
      </c>
      <c r="AC31" s="7">
        <v>0.01</v>
      </c>
      <c r="AD31" s="36">
        <v>28</v>
      </c>
    </row>
    <row r="32" spans="1:30" x14ac:dyDescent="0.15">
      <c r="A32" s="2" t="s">
        <v>575</v>
      </c>
      <c r="B32" s="1" t="s">
        <v>885</v>
      </c>
      <c r="C32" s="12"/>
      <c r="E32" s="3">
        <v>2</v>
      </c>
      <c r="H32" s="3">
        <v>3</v>
      </c>
      <c r="Y32" s="44">
        <f t="shared" si="0"/>
        <v>5</v>
      </c>
      <c r="Z32" s="44">
        <v>1</v>
      </c>
      <c r="AA32" s="1" t="s">
        <v>520</v>
      </c>
      <c r="AB32" s="7">
        <v>1.4E-2</v>
      </c>
      <c r="AC32" s="7">
        <v>2E-3</v>
      </c>
      <c r="AD32" s="36">
        <v>28</v>
      </c>
    </row>
    <row r="33" spans="1:30" x14ac:dyDescent="0.15">
      <c r="A33" s="2" t="s">
        <v>575</v>
      </c>
      <c r="B33" s="1" t="s">
        <v>885</v>
      </c>
      <c r="C33" s="12"/>
      <c r="E33" s="3">
        <v>2</v>
      </c>
      <c r="H33" s="3">
        <v>3</v>
      </c>
      <c r="Y33" s="44">
        <f t="shared" si="0"/>
        <v>5</v>
      </c>
      <c r="Z33" s="44">
        <v>16</v>
      </c>
      <c r="AA33" s="1" t="s">
        <v>522</v>
      </c>
      <c r="AB33" s="7">
        <v>1.7999999999999999E-2</v>
      </c>
      <c r="AC33" s="7">
        <v>3.0000000000000001E-3</v>
      </c>
      <c r="AD33" s="36">
        <v>28</v>
      </c>
    </row>
    <row r="34" spans="1:30" x14ac:dyDescent="0.15">
      <c r="A34" s="2" t="s">
        <v>831</v>
      </c>
      <c r="B34" s="1" t="s">
        <v>885</v>
      </c>
      <c r="C34" s="12"/>
      <c r="D34" s="1"/>
      <c r="I34" s="3">
        <v>1</v>
      </c>
      <c r="K34" s="3">
        <v>2</v>
      </c>
      <c r="L34" s="3">
        <v>3</v>
      </c>
      <c r="O34" s="3">
        <v>3</v>
      </c>
      <c r="U34" s="3">
        <v>1</v>
      </c>
      <c r="Y34" s="44">
        <f t="shared" ref="Y34:Y64" si="1">SUM(C34:M34,O34:P34,T34:V34)</f>
        <v>10</v>
      </c>
      <c r="Z34" s="44">
        <v>198</v>
      </c>
      <c r="AA34" s="1" t="s">
        <v>340</v>
      </c>
      <c r="AB34" s="7">
        <v>0.03</v>
      </c>
      <c r="AC34" s="7">
        <v>7.6967930029154513E-3</v>
      </c>
      <c r="AD34" s="36">
        <v>40</v>
      </c>
    </row>
    <row r="35" spans="1:30" x14ac:dyDescent="0.15">
      <c r="A35" s="2" t="s">
        <v>15</v>
      </c>
      <c r="B35" s="1" t="s">
        <v>76</v>
      </c>
      <c r="C35" s="12"/>
      <c r="E35" s="3">
        <v>2</v>
      </c>
      <c r="F35" s="3">
        <v>2</v>
      </c>
      <c r="R35" s="3">
        <v>1</v>
      </c>
      <c r="S35" s="3">
        <v>2</v>
      </c>
      <c r="Y35" s="44">
        <f t="shared" si="1"/>
        <v>4</v>
      </c>
      <c r="Z35" s="44">
        <v>98</v>
      </c>
      <c r="AA35" s="1" t="s">
        <v>433</v>
      </c>
      <c r="AB35" s="7">
        <v>3.2000000000000001E-2</v>
      </c>
      <c r="AC35" s="7"/>
      <c r="AD35" s="36">
        <v>62</v>
      </c>
    </row>
    <row r="36" spans="1:30" x14ac:dyDescent="0.15">
      <c r="A36" s="2" t="s">
        <v>831</v>
      </c>
      <c r="B36" s="1" t="s">
        <v>76</v>
      </c>
      <c r="C36" s="12"/>
      <c r="D36" s="1"/>
      <c r="E36" s="3">
        <v>1</v>
      </c>
      <c r="K36" s="3">
        <v>1</v>
      </c>
      <c r="L36" s="3">
        <v>1</v>
      </c>
      <c r="M36" s="3">
        <v>2</v>
      </c>
      <c r="N36" s="3">
        <v>2</v>
      </c>
      <c r="O36" s="3">
        <v>3</v>
      </c>
      <c r="T36" s="3">
        <v>1</v>
      </c>
      <c r="U36" s="3">
        <v>1</v>
      </c>
      <c r="Y36" s="44">
        <f t="shared" si="1"/>
        <v>10</v>
      </c>
      <c r="Z36" s="44">
        <v>104</v>
      </c>
      <c r="AA36" s="1" t="s">
        <v>338</v>
      </c>
      <c r="AB36" s="7">
        <v>0.04</v>
      </c>
      <c r="AC36" s="7">
        <v>1.8910675381263616E-2</v>
      </c>
      <c r="AD36" s="36">
        <v>40</v>
      </c>
    </row>
    <row r="37" spans="1:30" x14ac:dyDescent="0.15">
      <c r="A37" s="2" t="s">
        <v>832</v>
      </c>
      <c r="B37" s="123" t="s">
        <v>886</v>
      </c>
      <c r="C37" s="12"/>
      <c r="D37" s="1"/>
      <c r="U37" s="3">
        <v>6</v>
      </c>
      <c r="V37" s="3">
        <v>3</v>
      </c>
      <c r="W37" s="3">
        <v>1</v>
      </c>
      <c r="Y37" s="44">
        <f t="shared" si="1"/>
        <v>9</v>
      </c>
      <c r="Z37" s="44">
        <v>172</v>
      </c>
      <c r="AA37" s="1" t="s">
        <v>339</v>
      </c>
      <c r="AB37" s="7">
        <v>0.04</v>
      </c>
      <c r="AC37" s="7">
        <v>5.3932584269662919E-3</v>
      </c>
      <c r="AD37" s="36">
        <v>40</v>
      </c>
    </row>
    <row r="38" spans="1:30" x14ac:dyDescent="0.15">
      <c r="A38" s="2" t="s">
        <v>841</v>
      </c>
      <c r="B38" s="123" t="s">
        <v>886</v>
      </c>
      <c r="C38" s="12">
        <v>1</v>
      </c>
      <c r="X38" s="3" t="s">
        <v>139</v>
      </c>
      <c r="Y38" s="44">
        <f t="shared" si="1"/>
        <v>1</v>
      </c>
      <c r="Z38" s="44">
        <v>206</v>
      </c>
      <c r="AA38" s="1" t="s">
        <v>608</v>
      </c>
      <c r="AB38" s="7">
        <v>4.0451248097412483E-2</v>
      </c>
      <c r="AC38" s="7">
        <v>1.6465451099705243E-2</v>
      </c>
      <c r="AD38" s="36" t="s">
        <v>785</v>
      </c>
    </row>
    <row r="39" spans="1:30" x14ac:dyDescent="0.15">
      <c r="A39" s="2" t="s">
        <v>841</v>
      </c>
      <c r="B39" s="1" t="s">
        <v>76</v>
      </c>
      <c r="C39" s="12">
        <v>1</v>
      </c>
      <c r="D39" s="1"/>
      <c r="I39" s="3">
        <v>2</v>
      </c>
      <c r="L39" s="3">
        <v>4</v>
      </c>
      <c r="O39" s="3">
        <v>1</v>
      </c>
      <c r="T39" s="3">
        <v>2</v>
      </c>
      <c r="Y39" s="44">
        <f t="shared" si="1"/>
        <v>10</v>
      </c>
      <c r="Z39" s="44">
        <v>103</v>
      </c>
      <c r="AA39" s="1" t="s">
        <v>337</v>
      </c>
      <c r="AB39" s="7">
        <v>0.05</v>
      </c>
      <c r="AC39" s="7">
        <v>7.768595041322314E-2</v>
      </c>
      <c r="AD39" s="36">
        <v>40</v>
      </c>
    </row>
    <row r="40" spans="1:30" x14ac:dyDescent="0.15">
      <c r="A40" s="2" t="s">
        <v>15</v>
      </c>
      <c r="B40" s="123" t="s">
        <v>886</v>
      </c>
      <c r="C40" s="12"/>
      <c r="E40" s="3">
        <v>1</v>
      </c>
      <c r="F40" s="3">
        <v>1</v>
      </c>
      <c r="N40" s="3">
        <v>2</v>
      </c>
      <c r="Y40" s="44">
        <f t="shared" si="1"/>
        <v>2</v>
      </c>
      <c r="Z40" s="44">
        <v>25</v>
      </c>
      <c r="AA40" s="1" t="s">
        <v>240</v>
      </c>
      <c r="AB40" s="7">
        <v>6.0149999999999995E-2</v>
      </c>
      <c r="AC40" s="7">
        <v>5.8689862838483412E-3</v>
      </c>
      <c r="AD40" s="36">
        <v>31</v>
      </c>
    </row>
    <row r="41" spans="1:30" x14ac:dyDescent="0.15">
      <c r="A41" s="2" t="s">
        <v>575</v>
      </c>
      <c r="B41" s="123" t="s">
        <v>886</v>
      </c>
      <c r="C41" s="12"/>
      <c r="E41" s="3">
        <v>1</v>
      </c>
      <c r="H41" s="3">
        <v>3</v>
      </c>
      <c r="N41" s="3">
        <v>3</v>
      </c>
      <c r="Y41" s="44">
        <f t="shared" si="1"/>
        <v>4</v>
      </c>
      <c r="Z41" s="44">
        <v>29</v>
      </c>
      <c r="AA41" s="1" t="s">
        <v>685</v>
      </c>
      <c r="AB41" s="40">
        <v>1.1800000000000001E-3</v>
      </c>
      <c r="AC41" s="4">
        <v>2.0000000000000002E-5</v>
      </c>
      <c r="AD41" s="44">
        <v>45</v>
      </c>
    </row>
    <row r="42" spans="1:30" x14ac:dyDescent="0.15">
      <c r="A42" s="2" t="s">
        <v>841</v>
      </c>
      <c r="B42" s="1" t="s">
        <v>76</v>
      </c>
      <c r="C42" s="12">
        <v>1</v>
      </c>
      <c r="K42" s="3">
        <v>4</v>
      </c>
      <c r="L42" s="3">
        <v>1</v>
      </c>
      <c r="S42" s="3">
        <v>3</v>
      </c>
      <c r="T42" s="3">
        <v>2</v>
      </c>
      <c r="V42" s="3">
        <v>1</v>
      </c>
      <c r="Y42" s="44">
        <f t="shared" si="1"/>
        <v>9</v>
      </c>
      <c r="Z42" s="44">
        <v>121</v>
      </c>
      <c r="AA42" s="1" t="s">
        <v>270</v>
      </c>
      <c r="AB42" s="6">
        <v>0.28000000000000003</v>
      </c>
      <c r="AC42" s="6">
        <v>2.8284271247461888E-2</v>
      </c>
      <c r="AD42" s="36" t="s">
        <v>759</v>
      </c>
    </row>
    <row r="43" spans="1:30" x14ac:dyDescent="0.15">
      <c r="A43" s="2" t="s">
        <v>15</v>
      </c>
      <c r="B43" s="1" t="s">
        <v>76</v>
      </c>
      <c r="C43" s="12"/>
      <c r="E43" s="3">
        <v>1</v>
      </c>
      <c r="F43" s="3">
        <v>1</v>
      </c>
      <c r="T43" s="3">
        <v>1</v>
      </c>
      <c r="U43" s="3">
        <v>1</v>
      </c>
      <c r="Y43" s="44">
        <f t="shared" si="1"/>
        <v>4</v>
      </c>
      <c r="Z43" s="44">
        <v>164</v>
      </c>
      <c r="AA43" s="1" t="s">
        <v>450</v>
      </c>
      <c r="AB43" s="6">
        <v>0.35</v>
      </c>
      <c r="AC43" s="6">
        <v>5.0999999999999997E-2</v>
      </c>
      <c r="AD43" s="36">
        <v>67</v>
      </c>
    </row>
    <row r="44" spans="1:30" x14ac:dyDescent="0.15">
      <c r="A44" s="2" t="s">
        <v>841</v>
      </c>
      <c r="B44" s="1" t="s">
        <v>76</v>
      </c>
      <c r="C44" s="12">
        <v>1</v>
      </c>
      <c r="D44" s="1"/>
      <c r="I44" s="3">
        <v>1</v>
      </c>
      <c r="K44" s="3">
        <v>1</v>
      </c>
      <c r="L44" s="3">
        <v>4</v>
      </c>
      <c r="P44" s="3">
        <v>2</v>
      </c>
      <c r="T44" s="3">
        <v>1</v>
      </c>
      <c r="W44" s="3">
        <v>1</v>
      </c>
      <c r="Y44" s="44">
        <f t="shared" si="1"/>
        <v>10</v>
      </c>
      <c r="Z44" s="44">
        <v>186</v>
      </c>
      <c r="AA44" s="1" t="s">
        <v>336</v>
      </c>
      <c r="AB44" s="6">
        <v>0.4</v>
      </c>
      <c r="AC44" s="6">
        <v>0.08</v>
      </c>
      <c r="AD44" s="36">
        <v>40</v>
      </c>
    </row>
    <row r="45" spans="1:30" x14ac:dyDescent="0.15">
      <c r="A45" s="2" t="s">
        <v>841</v>
      </c>
      <c r="B45" s="1" t="s">
        <v>76</v>
      </c>
      <c r="C45" s="12">
        <v>1</v>
      </c>
      <c r="D45" s="1"/>
      <c r="E45" s="3">
        <v>1</v>
      </c>
      <c r="J45" s="3">
        <v>1</v>
      </c>
      <c r="K45" s="3">
        <v>1</v>
      </c>
      <c r="L45" s="3">
        <v>1</v>
      </c>
      <c r="P45" s="3">
        <v>1</v>
      </c>
      <c r="R45" s="3">
        <v>1</v>
      </c>
      <c r="S45" s="3">
        <v>2</v>
      </c>
      <c r="U45" s="3">
        <v>1</v>
      </c>
      <c r="Y45" s="44">
        <f t="shared" si="1"/>
        <v>7</v>
      </c>
      <c r="Z45" s="44">
        <v>202</v>
      </c>
      <c r="AA45" s="1" t="s">
        <v>335</v>
      </c>
      <c r="AB45" s="6">
        <v>0.48</v>
      </c>
      <c r="AC45" s="6">
        <v>0</v>
      </c>
      <c r="AD45" s="36">
        <v>40</v>
      </c>
    </row>
    <row r="46" spans="1:30" x14ac:dyDescent="0.15">
      <c r="A46" s="2" t="s">
        <v>831</v>
      </c>
      <c r="B46" s="1" t="s">
        <v>76</v>
      </c>
      <c r="C46" s="12"/>
      <c r="D46" s="1"/>
      <c r="E46" s="3">
        <v>2</v>
      </c>
      <c r="K46" s="3">
        <v>2</v>
      </c>
      <c r="T46" s="3">
        <v>2</v>
      </c>
      <c r="Y46" s="44">
        <f t="shared" si="1"/>
        <v>6</v>
      </c>
      <c r="Z46" s="44">
        <v>129</v>
      </c>
      <c r="AA46" s="1" t="s">
        <v>334</v>
      </c>
      <c r="AB46" s="6">
        <v>0.6</v>
      </c>
      <c r="AC46" s="6">
        <v>0.08</v>
      </c>
      <c r="AD46" s="36">
        <v>40</v>
      </c>
    </row>
    <row r="47" spans="1:30" x14ac:dyDescent="0.15">
      <c r="A47" s="2" t="s">
        <v>841</v>
      </c>
      <c r="B47" s="123" t="s">
        <v>886</v>
      </c>
      <c r="C47" s="12">
        <v>1</v>
      </c>
      <c r="X47" s="3" t="s">
        <v>140</v>
      </c>
      <c r="Y47" s="44">
        <f t="shared" si="1"/>
        <v>1</v>
      </c>
      <c r="Z47" s="44">
        <v>210</v>
      </c>
      <c r="AA47" s="1" t="s">
        <v>607</v>
      </c>
      <c r="AB47" s="6">
        <v>0.77514951199338289</v>
      </c>
      <c r="AC47" s="6">
        <v>9.5593490628428909E-2</v>
      </c>
      <c r="AD47" s="36" t="s">
        <v>790</v>
      </c>
    </row>
    <row r="48" spans="1:30" x14ac:dyDescent="0.15">
      <c r="A48" s="2" t="s">
        <v>831</v>
      </c>
      <c r="B48" s="1" t="s">
        <v>76</v>
      </c>
      <c r="C48" s="12"/>
      <c r="D48" s="1"/>
      <c r="I48" s="3">
        <v>1</v>
      </c>
      <c r="L48" s="3">
        <v>2</v>
      </c>
      <c r="O48" s="3">
        <v>1</v>
      </c>
      <c r="T48" s="3">
        <v>1</v>
      </c>
      <c r="Y48" s="44">
        <f t="shared" si="1"/>
        <v>5</v>
      </c>
      <c r="Z48" s="44">
        <v>118</v>
      </c>
      <c r="AA48" s="1" t="s">
        <v>332</v>
      </c>
      <c r="AB48" s="6">
        <v>0.8</v>
      </c>
      <c r="AC48" s="6">
        <v>0.6</v>
      </c>
      <c r="AD48" s="36">
        <v>40</v>
      </c>
    </row>
    <row r="49" spans="1:30" x14ac:dyDescent="0.15">
      <c r="A49" s="2" t="s">
        <v>575</v>
      </c>
      <c r="B49" s="1" t="s">
        <v>76</v>
      </c>
      <c r="C49" s="12"/>
      <c r="D49" s="1"/>
      <c r="E49" s="3">
        <v>1</v>
      </c>
      <c r="H49" s="3">
        <v>6</v>
      </c>
      <c r="U49" s="3">
        <v>1</v>
      </c>
      <c r="W49" s="3">
        <v>1</v>
      </c>
      <c r="Y49" s="44">
        <f t="shared" si="1"/>
        <v>8</v>
      </c>
      <c r="Z49" s="44">
        <v>142</v>
      </c>
      <c r="AA49" s="1" t="s">
        <v>333</v>
      </c>
      <c r="AB49" s="6">
        <v>0.8</v>
      </c>
      <c r="AC49" s="6">
        <v>0.08</v>
      </c>
      <c r="AD49" s="36">
        <v>40</v>
      </c>
    </row>
    <row r="50" spans="1:30" x14ac:dyDescent="0.15">
      <c r="A50" s="2" t="s">
        <v>575</v>
      </c>
      <c r="B50" s="123" t="s">
        <v>886</v>
      </c>
      <c r="C50" s="12"/>
      <c r="D50" s="1"/>
      <c r="E50" s="3">
        <v>1</v>
      </c>
      <c r="H50" s="3">
        <v>3</v>
      </c>
      <c r="W50" s="3">
        <v>1</v>
      </c>
      <c r="Y50" s="44">
        <f t="shared" si="1"/>
        <v>4</v>
      </c>
      <c r="Z50" s="44">
        <v>146</v>
      </c>
      <c r="AA50" s="1" t="s">
        <v>331</v>
      </c>
      <c r="AB50" s="6">
        <v>0.8</v>
      </c>
      <c r="AC50" s="6">
        <v>0.12</v>
      </c>
      <c r="AD50" s="36">
        <v>40</v>
      </c>
    </row>
    <row r="51" spans="1:30" x14ac:dyDescent="0.15">
      <c r="A51" s="2" t="s">
        <v>15</v>
      </c>
      <c r="B51" s="123" t="s">
        <v>886</v>
      </c>
      <c r="C51" s="12"/>
      <c r="E51" s="3">
        <v>2</v>
      </c>
      <c r="F51" s="3">
        <v>2</v>
      </c>
      <c r="X51" s="3" t="s">
        <v>485</v>
      </c>
      <c r="Y51" s="44">
        <f t="shared" si="1"/>
        <v>4</v>
      </c>
      <c r="Z51" s="44">
        <v>97</v>
      </c>
      <c r="AA51" s="1" t="s">
        <v>484</v>
      </c>
      <c r="AB51" s="6">
        <v>0.82</v>
      </c>
      <c r="AC51" s="6"/>
      <c r="AD51" s="36">
        <v>75</v>
      </c>
    </row>
    <row r="52" spans="1:30" x14ac:dyDescent="0.15">
      <c r="A52" s="2" t="s">
        <v>841</v>
      </c>
      <c r="B52" s="1" t="s">
        <v>76</v>
      </c>
      <c r="C52" s="12">
        <v>1</v>
      </c>
      <c r="D52" s="1"/>
      <c r="E52" s="3">
        <v>1</v>
      </c>
      <c r="H52" s="3">
        <v>2</v>
      </c>
      <c r="L52" s="3">
        <v>1</v>
      </c>
      <c r="T52" s="3">
        <v>1</v>
      </c>
      <c r="W52" s="3">
        <v>1</v>
      </c>
      <c r="X52" s="3" t="s">
        <v>344</v>
      </c>
      <c r="Y52" s="44">
        <f t="shared" si="1"/>
        <v>6</v>
      </c>
      <c r="Z52" s="44">
        <v>138</v>
      </c>
      <c r="AA52" s="1" t="s">
        <v>328</v>
      </c>
      <c r="AB52" s="6">
        <v>0.84</v>
      </c>
      <c r="AC52" s="6">
        <v>0.2</v>
      </c>
      <c r="AD52" s="36">
        <v>40</v>
      </c>
    </row>
    <row r="53" spans="1:30" x14ac:dyDescent="0.15">
      <c r="A53" s="2" t="s">
        <v>575</v>
      </c>
      <c r="B53" s="1" t="s">
        <v>76</v>
      </c>
      <c r="C53" s="12"/>
      <c r="D53" s="1"/>
      <c r="E53" s="3">
        <v>2</v>
      </c>
      <c r="H53" s="3">
        <v>1</v>
      </c>
      <c r="U53" s="3">
        <v>1</v>
      </c>
      <c r="W53" s="3">
        <v>1</v>
      </c>
      <c r="Y53" s="44">
        <f t="shared" si="1"/>
        <v>4</v>
      </c>
      <c r="Z53" s="44">
        <v>173</v>
      </c>
      <c r="AA53" s="1" t="s">
        <v>330</v>
      </c>
      <c r="AB53" s="6">
        <v>0.84</v>
      </c>
      <c r="AC53" s="6">
        <v>0.04</v>
      </c>
      <c r="AD53" s="36">
        <v>40</v>
      </c>
    </row>
    <row r="54" spans="1:30" x14ac:dyDescent="0.15">
      <c r="A54" s="2" t="s">
        <v>841</v>
      </c>
      <c r="B54" s="1" t="s">
        <v>76</v>
      </c>
      <c r="C54" s="12">
        <v>1</v>
      </c>
      <c r="D54" s="1"/>
      <c r="E54" s="3">
        <v>1</v>
      </c>
      <c r="K54" s="3">
        <v>1</v>
      </c>
      <c r="L54" s="3">
        <v>2</v>
      </c>
      <c r="T54" s="3">
        <v>1</v>
      </c>
      <c r="W54" s="3">
        <v>1</v>
      </c>
      <c r="X54" s="3" t="s">
        <v>114</v>
      </c>
      <c r="Y54" s="44">
        <f t="shared" si="1"/>
        <v>6</v>
      </c>
      <c r="Z54" s="44">
        <v>176</v>
      </c>
      <c r="AA54" s="1" t="s">
        <v>329</v>
      </c>
      <c r="AB54" s="6">
        <v>0.84</v>
      </c>
      <c r="AC54" s="6">
        <v>0.08</v>
      </c>
      <c r="AD54" s="36">
        <v>40</v>
      </c>
    </row>
    <row r="55" spans="1:30" x14ac:dyDescent="0.15">
      <c r="A55" s="2" t="s">
        <v>841</v>
      </c>
      <c r="B55" s="1" t="s">
        <v>76</v>
      </c>
      <c r="C55" s="12">
        <v>1</v>
      </c>
      <c r="D55" s="1"/>
      <c r="E55" s="3">
        <v>1</v>
      </c>
      <c r="K55" s="3">
        <v>1</v>
      </c>
      <c r="L55" s="3">
        <v>2</v>
      </c>
      <c r="T55" s="3">
        <v>1</v>
      </c>
      <c r="W55" s="3">
        <v>1</v>
      </c>
      <c r="X55" s="3" t="s">
        <v>343</v>
      </c>
      <c r="Y55" s="44">
        <f t="shared" si="1"/>
        <v>6</v>
      </c>
      <c r="Z55" s="44">
        <v>156</v>
      </c>
      <c r="AA55" s="1" t="s">
        <v>327</v>
      </c>
      <c r="AB55" s="6">
        <v>0.88</v>
      </c>
      <c r="AC55" s="6">
        <v>0.08</v>
      </c>
      <c r="AD55" s="36">
        <v>40</v>
      </c>
    </row>
    <row r="56" spans="1:30" x14ac:dyDescent="0.15">
      <c r="A56" s="2" t="s">
        <v>841</v>
      </c>
      <c r="B56" s="1" t="s">
        <v>76</v>
      </c>
      <c r="C56" s="12">
        <v>1</v>
      </c>
      <c r="D56" s="1"/>
      <c r="E56" s="3">
        <v>1</v>
      </c>
      <c r="I56" s="3">
        <v>1</v>
      </c>
      <c r="L56" s="3">
        <v>3</v>
      </c>
      <c r="T56" s="3">
        <v>1</v>
      </c>
      <c r="W56" s="3">
        <v>1</v>
      </c>
      <c r="X56" s="3" t="s">
        <v>114</v>
      </c>
      <c r="Y56" s="44">
        <f t="shared" si="1"/>
        <v>7</v>
      </c>
      <c r="Z56" s="44">
        <v>132</v>
      </c>
      <c r="AA56" s="1" t="s">
        <v>321</v>
      </c>
      <c r="AB56" s="6">
        <v>0.88749999999999996</v>
      </c>
      <c r="AC56" s="6">
        <v>0.36415999231107232</v>
      </c>
      <c r="AD56" s="36" t="s">
        <v>764</v>
      </c>
    </row>
    <row r="57" spans="1:30" x14ac:dyDescent="0.15">
      <c r="A57" s="2" t="s">
        <v>839</v>
      </c>
      <c r="B57" s="1" t="s">
        <v>840</v>
      </c>
      <c r="C57" s="12"/>
      <c r="E57" s="3">
        <v>3</v>
      </c>
      <c r="Y57" s="44">
        <f t="shared" si="1"/>
        <v>3</v>
      </c>
      <c r="Z57" s="44">
        <v>139</v>
      </c>
      <c r="AA57" s="1" t="s">
        <v>208</v>
      </c>
      <c r="AB57" s="6">
        <v>0.9</v>
      </c>
      <c r="AC57" s="6">
        <v>0.3</v>
      </c>
      <c r="AD57" s="36">
        <v>28</v>
      </c>
    </row>
    <row r="58" spans="1:30" x14ac:dyDescent="0.15">
      <c r="A58" s="2" t="s">
        <v>841</v>
      </c>
      <c r="B58" s="1" t="s">
        <v>76</v>
      </c>
      <c r="C58" s="12">
        <v>1</v>
      </c>
      <c r="D58" s="1"/>
      <c r="E58" s="3">
        <v>1</v>
      </c>
      <c r="I58" s="3">
        <v>1</v>
      </c>
      <c r="L58" s="3">
        <v>3</v>
      </c>
      <c r="T58" s="3">
        <v>1</v>
      </c>
      <c r="U58" s="3">
        <v>1</v>
      </c>
      <c r="W58" s="3">
        <v>1</v>
      </c>
      <c r="X58" s="3" t="s">
        <v>114</v>
      </c>
      <c r="Y58" s="44">
        <f t="shared" si="1"/>
        <v>8</v>
      </c>
      <c r="Z58" s="44">
        <v>115</v>
      </c>
      <c r="AA58" s="1" t="s">
        <v>324</v>
      </c>
      <c r="AB58" s="6">
        <v>0.97666666666666668</v>
      </c>
      <c r="AC58" s="6">
        <v>0.37527767497325648</v>
      </c>
      <c r="AD58" s="36" t="s">
        <v>752</v>
      </c>
    </row>
    <row r="59" spans="1:30" x14ac:dyDescent="0.15">
      <c r="A59" s="2" t="s">
        <v>841</v>
      </c>
      <c r="B59" s="123" t="s">
        <v>886</v>
      </c>
      <c r="C59" s="12">
        <v>1</v>
      </c>
      <c r="X59" s="3" t="s">
        <v>108</v>
      </c>
      <c r="Y59" s="44">
        <f t="shared" si="1"/>
        <v>1</v>
      </c>
      <c r="Z59" s="44">
        <v>116</v>
      </c>
      <c r="AA59" s="1" t="s">
        <v>609</v>
      </c>
      <c r="AB59" s="6">
        <v>1.0714729729729728</v>
      </c>
      <c r="AC59" s="6">
        <v>0.34589645021768073</v>
      </c>
      <c r="AD59" s="36" t="s">
        <v>755</v>
      </c>
    </row>
    <row r="60" spans="1:30" x14ac:dyDescent="0.15">
      <c r="A60" s="2" t="s">
        <v>831</v>
      </c>
      <c r="B60" s="1" t="s">
        <v>885</v>
      </c>
      <c r="C60" s="12"/>
      <c r="D60" s="1"/>
      <c r="I60" s="3">
        <v>1</v>
      </c>
      <c r="K60" s="3">
        <v>2</v>
      </c>
      <c r="L60" s="3">
        <v>3</v>
      </c>
      <c r="O60" s="3">
        <v>3</v>
      </c>
      <c r="X60" s="3" t="s">
        <v>62</v>
      </c>
      <c r="Y60" s="44">
        <f t="shared" si="1"/>
        <v>9</v>
      </c>
      <c r="Z60" s="44">
        <v>88</v>
      </c>
      <c r="AA60" s="1" t="s">
        <v>326</v>
      </c>
      <c r="AB60" s="6">
        <v>1.1599999999999999</v>
      </c>
      <c r="AC60" s="6">
        <v>0.2</v>
      </c>
      <c r="AD60" s="36">
        <v>40</v>
      </c>
    </row>
    <row r="61" spans="1:30" x14ac:dyDescent="0.15">
      <c r="A61" s="2" t="s">
        <v>831</v>
      </c>
      <c r="B61" s="1" t="s">
        <v>885</v>
      </c>
      <c r="C61" s="12"/>
      <c r="D61" s="1"/>
      <c r="E61" s="3">
        <v>1</v>
      </c>
      <c r="G61" s="3">
        <v>1</v>
      </c>
      <c r="I61" s="3">
        <v>1</v>
      </c>
      <c r="J61" s="3">
        <v>1</v>
      </c>
      <c r="K61" s="3">
        <v>1</v>
      </c>
      <c r="L61" s="3">
        <v>2</v>
      </c>
      <c r="O61" s="3">
        <v>2</v>
      </c>
      <c r="R61" s="3">
        <v>1</v>
      </c>
      <c r="S61" s="3">
        <v>2</v>
      </c>
      <c r="Y61" s="44">
        <f t="shared" si="1"/>
        <v>9</v>
      </c>
      <c r="Z61" s="44">
        <v>201</v>
      </c>
      <c r="AA61" s="1" t="s">
        <v>325</v>
      </c>
      <c r="AB61" s="6">
        <v>1.2</v>
      </c>
      <c r="AC61" s="6">
        <v>0.2</v>
      </c>
      <c r="AD61" s="36">
        <v>40</v>
      </c>
    </row>
    <row r="62" spans="1:30" x14ac:dyDescent="0.15">
      <c r="A62" s="2" t="s">
        <v>831</v>
      </c>
      <c r="B62" s="1" t="s">
        <v>885</v>
      </c>
      <c r="C62" s="12"/>
      <c r="D62" s="1"/>
      <c r="L62" s="3">
        <v>1</v>
      </c>
      <c r="T62" s="3">
        <v>2</v>
      </c>
      <c r="U62" s="3">
        <v>6</v>
      </c>
      <c r="V62" s="3">
        <v>5</v>
      </c>
      <c r="Y62" s="44">
        <f t="shared" si="1"/>
        <v>14</v>
      </c>
      <c r="Z62" s="44">
        <v>133</v>
      </c>
      <c r="AA62" s="1" t="s">
        <v>323</v>
      </c>
      <c r="AB62" s="6">
        <v>1.48</v>
      </c>
      <c r="AC62" s="6">
        <v>0.04</v>
      </c>
      <c r="AD62" s="36">
        <v>40</v>
      </c>
    </row>
    <row r="63" spans="1:30" x14ac:dyDescent="0.15">
      <c r="A63" s="2" t="s">
        <v>575</v>
      </c>
      <c r="B63" s="1" t="s">
        <v>885</v>
      </c>
      <c r="C63" s="12"/>
      <c r="E63" s="3">
        <v>1</v>
      </c>
      <c r="H63" s="3">
        <v>2</v>
      </c>
      <c r="I63" s="3">
        <v>1</v>
      </c>
      <c r="J63" s="3">
        <v>2</v>
      </c>
      <c r="L63" s="3">
        <v>2</v>
      </c>
      <c r="O63" s="3">
        <v>2</v>
      </c>
      <c r="U63" s="3">
        <v>3</v>
      </c>
      <c r="Y63" s="44">
        <f t="shared" si="1"/>
        <v>13</v>
      </c>
      <c r="Z63" s="44">
        <v>212</v>
      </c>
      <c r="AA63" s="1" t="s">
        <v>318</v>
      </c>
      <c r="AB63" s="6">
        <v>1.6</v>
      </c>
      <c r="AC63" s="6">
        <v>0.1</v>
      </c>
      <c r="AD63" s="36">
        <v>42</v>
      </c>
    </row>
    <row r="64" spans="1:30" x14ac:dyDescent="0.15">
      <c r="A64" s="2" t="s">
        <v>15</v>
      </c>
      <c r="B64" s="1" t="s">
        <v>76</v>
      </c>
      <c r="C64" s="12"/>
      <c r="E64" s="3">
        <v>2</v>
      </c>
      <c r="F64" s="3">
        <v>1</v>
      </c>
      <c r="T64" s="3">
        <v>1</v>
      </c>
      <c r="U64" s="3">
        <v>1</v>
      </c>
      <c r="Y64" s="44">
        <f t="shared" si="1"/>
        <v>5</v>
      </c>
      <c r="Z64" s="44">
        <v>93</v>
      </c>
      <c r="AA64" s="1" t="s">
        <v>628</v>
      </c>
      <c r="AB64" s="6">
        <v>1.6833333333333331</v>
      </c>
      <c r="AD64" s="36">
        <v>89</v>
      </c>
    </row>
    <row r="65" spans="1:30" x14ac:dyDescent="0.15">
      <c r="A65" s="2" t="s">
        <v>839</v>
      </c>
      <c r="B65" s="1" t="s">
        <v>840</v>
      </c>
      <c r="C65" s="12"/>
      <c r="E65" s="3">
        <v>4</v>
      </c>
      <c r="Y65" s="44">
        <f t="shared" ref="Y65:Y96" si="2">SUM(C65:M65,O65:P65,T65:V65)</f>
        <v>4</v>
      </c>
      <c r="Z65" s="44">
        <v>192</v>
      </c>
      <c r="AA65" s="1" t="s">
        <v>198</v>
      </c>
      <c r="AB65" s="6">
        <v>1.7</v>
      </c>
      <c r="AC65" s="6">
        <v>0.6</v>
      </c>
      <c r="AD65" s="36">
        <v>28</v>
      </c>
    </row>
    <row r="66" spans="1:30" x14ac:dyDescent="0.15">
      <c r="A66" s="2" t="s">
        <v>575</v>
      </c>
      <c r="B66" s="1" t="s">
        <v>885</v>
      </c>
      <c r="C66" s="12"/>
      <c r="D66" s="1"/>
      <c r="E66" s="3">
        <v>1</v>
      </c>
      <c r="H66" s="3">
        <v>2</v>
      </c>
      <c r="J66" s="3">
        <v>1</v>
      </c>
      <c r="K66" s="3">
        <v>1</v>
      </c>
      <c r="T66" s="3">
        <v>1</v>
      </c>
      <c r="U66" s="3">
        <v>1</v>
      </c>
      <c r="V66" s="3">
        <v>1</v>
      </c>
      <c r="Y66" s="44">
        <f t="shared" si="2"/>
        <v>8</v>
      </c>
      <c r="Z66" s="44">
        <v>87</v>
      </c>
      <c r="AA66" s="1" t="s">
        <v>322</v>
      </c>
      <c r="AB66" s="6">
        <v>1.88</v>
      </c>
      <c r="AC66" s="6">
        <v>0.6</v>
      </c>
      <c r="AD66" s="36">
        <v>40</v>
      </c>
    </row>
    <row r="67" spans="1:30" x14ac:dyDescent="0.15">
      <c r="A67" s="2" t="s">
        <v>575</v>
      </c>
      <c r="B67" s="1" t="s">
        <v>76</v>
      </c>
      <c r="C67" s="12"/>
      <c r="E67" s="3">
        <v>2</v>
      </c>
      <c r="H67" s="3">
        <v>2</v>
      </c>
      <c r="K67" s="3">
        <v>1</v>
      </c>
      <c r="W67" s="3">
        <v>1</v>
      </c>
      <c r="X67" s="3" t="s">
        <v>108</v>
      </c>
      <c r="Y67" s="44">
        <f t="shared" si="2"/>
        <v>5</v>
      </c>
      <c r="Z67" s="44">
        <v>127</v>
      </c>
      <c r="AA67" s="1" t="s">
        <v>319</v>
      </c>
      <c r="AB67" s="6">
        <v>2.1477839663068767</v>
      </c>
      <c r="AC67" s="6">
        <v>0.52635584852423734</v>
      </c>
      <c r="AD67" s="36" t="s">
        <v>762</v>
      </c>
    </row>
    <row r="68" spans="1:30" x14ac:dyDescent="0.15">
      <c r="A68" s="2" t="s">
        <v>841</v>
      </c>
      <c r="B68" s="123" t="s">
        <v>886</v>
      </c>
      <c r="C68" s="12">
        <v>1</v>
      </c>
      <c r="X68" s="3" t="s">
        <v>108</v>
      </c>
      <c r="Y68" s="44">
        <f t="shared" si="2"/>
        <v>1</v>
      </c>
      <c r="Z68" s="44">
        <v>2</v>
      </c>
      <c r="AA68" s="1" t="s">
        <v>610</v>
      </c>
      <c r="AB68" s="6">
        <v>2.2400000000000002</v>
      </c>
      <c r="AC68" s="6">
        <v>0.23853720883753129</v>
      </c>
      <c r="AD68" s="36" t="s">
        <v>717</v>
      </c>
    </row>
    <row r="69" spans="1:30" x14ac:dyDescent="0.15">
      <c r="A69" s="2" t="s">
        <v>831</v>
      </c>
      <c r="B69" s="1" t="s">
        <v>885</v>
      </c>
      <c r="C69" s="12"/>
      <c r="K69" s="3">
        <v>1</v>
      </c>
      <c r="L69" s="3">
        <v>1</v>
      </c>
      <c r="O69" s="3">
        <v>1</v>
      </c>
      <c r="R69" s="3">
        <v>1</v>
      </c>
      <c r="T69" s="3">
        <v>1</v>
      </c>
      <c r="U69" s="3">
        <v>1</v>
      </c>
      <c r="Y69" s="44">
        <f t="shared" si="2"/>
        <v>5</v>
      </c>
      <c r="Z69" s="44">
        <v>83</v>
      </c>
      <c r="AA69" s="1" t="s">
        <v>258</v>
      </c>
      <c r="AB69" s="6">
        <v>2.4</v>
      </c>
      <c r="AC69" s="6">
        <v>0.2</v>
      </c>
      <c r="AD69" s="36">
        <v>31</v>
      </c>
    </row>
    <row r="70" spans="1:30" x14ac:dyDescent="0.15">
      <c r="A70" s="2" t="s">
        <v>831</v>
      </c>
      <c r="B70" s="1" t="s">
        <v>76</v>
      </c>
      <c r="C70" s="12"/>
      <c r="D70" s="1"/>
      <c r="J70" s="3">
        <v>5</v>
      </c>
      <c r="K70" s="3">
        <v>11</v>
      </c>
      <c r="T70" s="3">
        <v>11</v>
      </c>
      <c r="V70" s="3">
        <v>2</v>
      </c>
      <c r="Y70" s="44">
        <f t="shared" si="2"/>
        <v>29</v>
      </c>
      <c r="Z70" s="44">
        <v>117</v>
      </c>
      <c r="AA70" s="1" t="s">
        <v>320</v>
      </c>
      <c r="AB70" s="6">
        <v>2.4</v>
      </c>
      <c r="AC70" s="6">
        <v>0.16</v>
      </c>
      <c r="AD70" s="36">
        <v>40</v>
      </c>
    </row>
    <row r="71" spans="1:30" x14ac:dyDescent="0.15">
      <c r="A71" s="2" t="s">
        <v>841</v>
      </c>
      <c r="B71" s="1" t="s">
        <v>885</v>
      </c>
      <c r="C71" s="12">
        <v>1</v>
      </c>
      <c r="D71" s="1"/>
      <c r="E71" s="3">
        <v>1</v>
      </c>
      <c r="L71" s="3">
        <v>3</v>
      </c>
      <c r="T71" s="3">
        <v>1</v>
      </c>
      <c r="U71" s="3">
        <v>1</v>
      </c>
      <c r="W71" s="3">
        <v>1</v>
      </c>
      <c r="X71" s="3" t="s">
        <v>114</v>
      </c>
      <c r="Y71" s="44">
        <f t="shared" si="2"/>
        <v>7</v>
      </c>
      <c r="Z71" s="44">
        <v>177</v>
      </c>
      <c r="AA71" s="1" t="s">
        <v>317</v>
      </c>
      <c r="AB71" s="6">
        <v>3.2600000000000002</v>
      </c>
      <c r="AC71" s="6">
        <v>1.6122034611053293</v>
      </c>
      <c r="AD71" s="36">
        <v>40</v>
      </c>
    </row>
    <row r="72" spans="1:30" x14ac:dyDescent="0.15">
      <c r="A72" s="2" t="s">
        <v>831</v>
      </c>
      <c r="B72" s="1" t="s">
        <v>885</v>
      </c>
      <c r="C72" s="12"/>
      <c r="K72" s="3">
        <v>1</v>
      </c>
      <c r="L72" s="3">
        <v>1</v>
      </c>
      <c r="R72" s="3">
        <v>1</v>
      </c>
      <c r="T72" s="3">
        <v>1</v>
      </c>
      <c r="U72" s="3">
        <v>1</v>
      </c>
      <c r="V72" s="3">
        <v>4</v>
      </c>
      <c r="Y72" s="44">
        <f t="shared" si="2"/>
        <v>8</v>
      </c>
      <c r="Z72" s="44">
        <v>155</v>
      </c>
      <c r="AA72" s="1" t="s">
        <v>348</v>
      </c>
      <c r="AB72" s="6">
        <v>3.6</v>
      </c>
      <c r="AC72" s="6">
        <v>0.1</v>
      </c>
      <c r="AD72" s="36">
        <v>42</v>
      </c>
    </row>
    <row r="73" spans="1:30" x14ac:dyDescent="0.15">
      <c r="A73" s="2" t="s">
        <v>15</v>
      </c>
      <c r="B73" s="1" t="s">
        <v>840</v>
      </c>
      <c r="C73" s="12"/>
      <c r="E73" s="3">
        <v>1</v>
      </c>
      <c r="F73" s="3">
        <v>1</v>
      </c>
      <c r="Y73" s="44">
        <f t="shared" si="2"/>
        <v>2</v>
      </c>
      <c r="Z73" s="44">
        <v>184</v>
      </c>
      <c r="AA73" s="1" t="s">
        <v>15</v>
      </c>
      <c r="AB73" s="6">
        <v>5.4620000000000006</v>
      </c>
      <c r="AC73" s="6">
        <v>0.97356047577949312</v>
      </c>
      <c r="AD73" s="36" t="s">
        <v>784</v>
      </c>
    </row>
    <row r="74" spans="1:30" x14ac:dyDescent="0.15">
      <c r="A74" s="2" t="s">
        <v>841</v>
      </c>
      <c r="B74" s="1" t="s">
        <v>76</v>
      </c>
      <c r="C74" s="12">
        <v>1</v>
      </c>
      <c r="E74" s="3">
        <v>2</v>
      </c>
      <c r="I74" s="3">
        <v>1</v>
      </c>
      <c r="L74" s="3">
        <v>1</v>
      </c>
      <c r="T74" s="3">
        <v>1</v>
      </c>
      <c r="U74" s="3">
        <v>1</v>
      </c>
      <c r="W74" s="3">
        <v>1</v>
      </c>
      <c r="X74" s="3" t="s">
        <v>62</v>
      </c>
      <c r="Y74" s="44">
        <f t="shared" si="2"/>
        <v>7</v>
      </c>
      <c r="Z74" s="44">
        <v>149</v>
      </c>
      <c r="AA74" s="1" t="s">
        <v>390</v>
      </c>
      <c r="AB74" s="6">
        <v>8.5113803820237681</v>
      </c>
      <c r="AC74" s="6">
        <v>0.41939833192673176</v>
      </c>
      <c r="AD74" s="36">
        <v>51</v>
      </c>
    </row>
    <row r="75" spans="1:30" x14ac:dyDescent="0.15">
      <c r="A75" s="2" t="s">
        <v>841</v>
      </c>
      <c r="B75" s="1" t="s">
        <v>76</v>
      </c>
      <c r="C75" s="12">
        <v>1</v>
      </c>
      <c r="E75" s="3">
        <v>1</v>
      </c>
      <c r="H75" s="3">
        <v>1</v>
      </c>
      <c r="J75" s="3">
        <v>1</v>
      </c>
      <c r="K75" s="3">
        <v>1</v>
      </c>
      <c r="L75" s="3">
        <v>1</v>
      </c>
      <c r="R75" s="3">
        <v>1</v>
      </c>
      <c r="T75" s="3">
        <v>2</v>
      </c>
      <c r="W75" s="3">
        <v>1</v>
      </c>
      <c r="Y75" s="44">
        <f t="shared" si="2"/>
        <v>8</v>
      </c>
      <c r="Z75" s="44">
        <v>108</v>
      </c>
      <c r="AA75" s="1" t="s">
        <v>315</v>
      </c>
      <c r="AB75" s="8">
        <v>12.71</v>
      </c>
      <c r="AC75" s="8">
        <v>1.62</v>
      </c>
      <c r="AD75" s="36">
        <v>69</v>
      </c>
    </row>
    <row r="76" spans="1:30" x14ac:dyDescent="0.15">
      <c r="A76" s="2" t="s">
        <v>841</v>
      </c>
      <c r="B76" s="1" t="s">
        <v>885</v>
      </c>
      <c r="C76" s="12">
        <v>1</v>
      </c>
      <c r="E76" s="3">
        <v>1</v>
      </c>
      <c r="K76" s="3">
        <v>1</v>
      </c>
      <c r="Y76" s="44">
        <f t="shared" si="2"/>
        <v>3</v>
      </c>
      <c r="Z76" s="44">
        <v>148</v>
      </c>
      <c r="AA76" s="1" t="s">
        <v>622</v>
      </c>
      <c r="AB76" s="8">
        <v>17.166666666666668</v>
      </c>
      <c r="AC76" s="8">
        <v>2.1666666666666665</v>
      </c>
      <c r="AD76" s="36">
        <v>87</v>
      </c>
    </row>
    <row r="77" spans="1:30" x14ac:dyDescent="0.15">
      <c r="A77" s="2" t="s">
        <v>841</v>
      </c>
      <c r="B77" s="123" t="s">
        <v>886</v>
      </c>
      <c r="C77" s="12">
        <v>1</v>
      </c>
      <c r="Q77" s="3">
        <v>1</v>
      </c>
      <c r="X77" s="3" t="s">
        <v>108</v>
      </c>
      <c r="Y77" s="44">
        <f t="shared" si="2"/>
        <v>1</v>
      </c>
      <c r="Z77" s="44">
        <v>126</v>
      </c>
      <c r="AA77" s="1" t="s">
        <v>257</v>
      </c>
      <c r="AB77" s="8">
        <v>20.45</v>
      </c>
      <c r="AC77" s="8">
        <v>6.7175144212722016</v>
      </c>
      <c r="AD77" s="36" t="s">
        <v>761</v>
      </c>
    </row>
    <row r="78" spans="1:30" x14ac:dyDescent="0.15">
      <c r="A78" s="2" t="s">
        <v>15</v>
      </c>
      <c r="B78" s="1" t="s">
        <v>76</v>
      </c>
      <c r="C78" s="12"/>
      <c r="E78" s="3">
        <v>2</v>
      </c>
      <c r="F78" s="3">
        <v>1</v>
      </c>
      <c r="H78" s="3">
        <v>2</v>
      </c>
      <c r="X78" s="3" t="s">
        <v>62</v>
      </c>
      <c r="Y78" s="44">
        <f t="shared" si="2"/>
        <v>5</v>
      </c>
      <c r="Z78" s="44">
        <v>111</v>
      </c>
      <c r="AA78" s="1" t="s">
        <v>463</v>
      </c>
      <c r="AB78" s="8">
        <v>20.55</v>
      </c>
      <c r="AC78" s="8">
        <v>0.48</v>
      </c>
      <c r="AD78" s="36">
        <v>71</v>
      </c>
    </row>
    <row r="79" spans="1:30" x14ac:dyDescent="0.15">
      <c r="A79" s="2" t="s">
        <v>15</v>
      </c>
      <c r="B79" s="1" t="s">
        <v>885</v>
      </c>
      <c r="C79" s="12"/>
      <c r="E79" s="3">
        <v>1</v>
      </c>
      <c r="F79" s="3">
        <v>1</v>
      </c>
      <c r="H79" s="3">
        <v>3</v>
      </c>
      <c r="Y79" s="44">
        <f t="shared" si="2"/>
        <v>5</v>
      </c>
      <c r="Z79" s="44">
        <v>42</v>
      </c>
      <c r="AA79" s="1" t="s">
        <v>526</v>
      </c>
      <c r="AB79" s="8">
        <v>23.1</v>
      </c>
      <c r="AC79" s="8">
        <v>1.7</v>
      </c>
      <c r="AD79" s="36">
        <v>67</v>
      </c>
    </row>
    <row r="80" spans="1:30" x14ac:dyDescent="0.15">
      <c r="A80" s="2" t="s">
        <v>841</v>
      </c>
      <c r="B80" s="1" t="s">
        <v>840</v>
      </c>
      <c r="C80" s="12">
        <v>1</v>
      </c>
      <c r="D80" s="132">
        <v>1</v>
      </c>
      <c r="T80" s="3">
        <v>2</v>
      </c>
      <c r="Y80" s="44">
        <f t="shared" si="2"/>
        <v>4</v>
      </c>
      <c r="Z80" s="44">
        <v>187</v>
      </c>
      <c r="AA80" s="1" t="s">
        <v>385</v>
      </c>
      <c r="AB80" s="8">
        <v>28</v>
      </c>
      <c r="AC80" s="8">
        <v>2</v>
      </c>
      <c r="AD80" s="36">
        <v>50</v>
      </c>
    </row>
    <row r="81" spans="1:30" x14ac:dyDescent="0.15">
      <c r="A81" s="2" t="s">
        <v>831</v>
      </c>
      <c r="B81" s="1" t="s">
        <v>885</v>
      </c>
      <c r="C81" s="12"/>
      <c r="D81" s="1"/>
      <c r="L81" s="3">
        <v>2</v>
      </c>
      <c r="O81" s="3">
        <v>1</v>
      </c>
      <c r="T81" s="3">
        <v>1</v>
      </c>
      <c r="U81" s="3">
        <v>9</v>
      </c>
      <c r="V81" s="3">
        <v>5</v>
      </c>
      <c r="Y81" s="44">
        <f t="shared" si="2"/>
        <v>18</v>
      </c>
      <c r="Z81" s="44">
        <v>196</v>
      </c>
      <c r="AA81" s="1" t="s">
        <v>316</v>
      </c>
      <c r="AB81" s="8">
        <v>28.52</v>
      </c>
      <c r="AC81" s="8">
        <v>0.24</v>
      </c>
      <c r="AD81" s="36">
        <v>40</v>
      </c>
    </row>
    <row r="82" spans="1:30" x14ac:dyDescent="0.15">
      <c r="A82" s="2" t="s">
        <v>15</v>
      </c>
      <c r="B82" s="123" t="s">
        <v>886</v>
      </c>
      <c r="C82" s="12"/>
      <c r="E82" s="3">
        <v>1</v>
      </c>
      <c r="F82" s="3">
        <v>1</v>
      </c>
      <c r="X82" s="3" t="s">
        <v>369</v>
      </c>
      <c r="Y82" s="44">
        <f t="shared" si="2"/>
        <v>2</v>
      </c>
      <c r="Z82" s="44">
        <v>180</v>
      </c>
      <c r="AA82" s="1" t="s">
        <v>366</v>
      </c>
      <c r="AB82" s="8">
        <v>30</v>
      </c>
      <c r="AC82" s="8"/>
      <c r="AD82" s="36">
        <v>68</v>
      </c>
    </row>
    <row r="83" spans="1:30" x14ac:dyDescent="0.15">
      <c r="A83" s="2" t="s">
        <v>15</v>
      </c>
      <c r="B83" s="1" t="s">
        <v>885</v>
      </c>
      <c r="C83" s="12"/>
      <c r="E83" s="3">
        <v>2</v>
      </c>
      <c r="F83" s="3">
        <v>2</v>
      </c>
      <c r="Y83" s="44">
        <f t="shared" si="2"/>
        <v>4</v>
      </c>
      <c r="Z83" s="44">
        <v>96</v>
      </c>
      <c r="AA83" s="1" t="s">
        <v>690</v>
      </c>
      <c r="AB83" s="8">
        <v>34.9</v>
      </c>
      <c r="AC83" s="8">
        <v>1.2727922061357835</v>
      </c>
      <c r="AD83" s="36" t="s">
        <v>746</v>
      </c>
    </row>
    <row r="84" spans="1:30" x14ac:dyDescent="0.15">
      <c r="A84" s="2" t="s">
        <v>841</v>
      </c>
      <c r="B84" s="123" t="s">
        <v>886</v>
      </c>
      <c r="C84" s="12">
        <v>1</v>
      </c>
      <c r="X84" s="3" t="s">
        <v>108</v>
      </c>
      <c r="Y84" s="44">
        <f t="shared" si="2"/>
        <v>1</v>
      </c>
      <c r="Z84" s="44">
        <v>209</v>
      </c>
      <c r="AA84" s="1" t="s">
        <v>611</v>
      </c>
      <c r="AB84" s="8">
        <v>39.199999999999996</v>
      </c>
      <c r="AC84" s="8">
        <v>9.301612763386812</v>
      </c>
      <c r="AD84" s="36" t="s">
        <v>789</v>
      </c>
    </row>
    <row r="85" spans="1:30" x14ac:dyDescent="0.15">
      <c r="A85" s="2" t="s">
        <v>841</v>
      </c>
      <c r="B85" s="1" t="s">
        <v>885</v>
      </c>
      <c r="C85" s="12">
        <v>2</v>
      </c>
      <c r="D85" s="1"/>
      <c r="E85" s="3">
        <v>1</v>
      </c>
      <c r="F85" s="3">
        <v>1</v>
      </c>
      <c r="J85" s="3">
        <v>1</v>
      </c>
      <c r="L85" s="3">
        <v>1</v>
      </c>
      <c r="T85" s="3">
        <v>3</v>
      </c>
      <c r="V85" s="3">
        <v>4</v>
      </c>
      <c r="X85" s="3" t="s">
        <v>62</v>
      </c>
      <c r="Y85" s="44">
        <f t="shared" si="2"/>
        <v>13</v>
      </c>
      <c r="Z85" s="44">
        <v>112</v>
      </c>
      <c r="AA85" s="1" t="s">
        <v>314</v>
      </c>
      <c r="AB85" s="8">
        <v>44.4</v>
      </c>
      <c r="AC85" s="8">
        <v>18.48</v>
      </c>
      <c r="AD85" s="36">
        <v>40</v>
      </c>
    </row>
    <row r="86" spans="1:30" x14ac:dyDescent="0.15">
      <c r="A86" s="2" t="s">
        <v>841</v>
      </c>
      <c r="B86" s="1" t="s">
        <v>76</v>
      </c>
      <c r="C86" s="12">
        <v>1</v>
      </c>
      <c r="D86" s="1"/>
      <c r="E86" s="3">
        <v>1</v>
      </c>
      <c r="H86" s="3">
        <v>2</v>
      </c>
      <c r="I86" s="3">
        <v>2</v>
      </c>
      <c r="J86" s="3">
        <v>3</v>
      </c>
      <c r="K86" s="3">
        <v>12</v>
      </c>
      <c r="L86" s="3">
        <v>2</v>
      </c>
      <c r="O86" s="3">
        <v>2</v>
      </c>
      <c r="R86" s="3">
        <v>1</v>
      </c>
      <c r="T86" s="3">
        <v>12</v>
      </c>
      <c r="W86" s="3">
        <v>2</v>
      </c>
      <c r="Y86" s="44">
        <f t="shared" si="2"/>
        <v>37</v>
      </c>
      <c r="Z86" s="44">
        <v>89</v>
      </c>
      <c r="AA86" s="1" t="s">
        <v>313</v>
      </c>
      <c r="AB86" s="8">
        <v>46.8</v>
      </c>
      <c r="AC86" s="8">
        <v>5.76</v>
      </c>
      <c r="AD86" s="36">
        <v>40</v>
      </c>
    </row>
    <row r="87" spans="1:30" x14ac:dyDescent="0.15">
      <c r="A87" s="2" t="s">
        <v>841</v>
      </c>
      <c r="B87" s="1" t="s">
        <v>885</v>
      </c>
      <c r="C87" s="12">
        <v>2</v>
      </c>
      <c r="D87" s="1"/>
      <c r="E87" s="3">
        <v>1</v>
      </c>
      <c r="F87" s="3">
        <v>1</v>
      </c>
      <c r="J87" s="3">
        <v>1</v>
      </c>
      <c r="L87" s="3">
        <v>1</v>
      </c>
      <c r="T87" s="3">
        <v>3</v>
      </c>
      <c r="V87" s="3">
        <v>5</v>
      </c>
      <c r="Y87" s="44">
        <f t="shared" si="2"/>
        <v>14</v>
      </c>
      <c r="Z87" s="44">
        <v>179</v>
      </c>
      <c r="AA87" s="1" t="s">
        <v>312</v>
      </c>
      <c r="AB87" s="8">
        <v>53.6</v>
      </c>
      <c r="AC87" s="8">
        <v>17.88</v>
      </c>
      <c r="AD87" s="36">
        <v>40</v>
      </c>
    </row>
    <row r="88" spans="1:30" x14ac:dyDescent="0.15">
      <c r="A88" s="2" t="s">
        <v>841</v>
      </c>
      <c r="B88" s="1" t="s">
        <v>885</v>
      </c>
      <c r="C88" s="12">
        <v>2</v>
      </c>
      <c r="D88" s="1"/>
      <c r="E88" s="3">
        <v>1</v>
      </c>
      <c r="F88" s="3">
        <v>1</v>
      </c>
      <c r="J88" s="3">
        <v>1</v>
      </c>
      <c r="L88" s="3">
        <v>1</v>
      </c>
      <c r="T88" s="3">
        <v>3</v>
      </c>
      <c r="V88" s="3">
        <v>4</v>
      </c>
      <c r="Y88" s="44">
        <f t="shared" si="2"/>
        <v>13</v>
      </c>
      <c r="Z88" s="44">
        <v>207</v>
      </c>
      <c r="AA88" s="1" t="s">
        <v>311</v>
      </c>
      <c r="AB88" s="8">
        <v>58</v>
      </c>
      <c r="AC88" s="8">
        <v>3.08</v>
      </c>
      <c r="AD88" s="36">
        <v>40</v>
      </c>
    </row>
    <row r="89" spans="1:30" x14ac:dyDescent="0.15">
      <c r="A89" s="2" t="s">
        <v>841</v>
      </c>
      <c r="B89" s="1" t="s">
        <v>885</v>
      </c>
      <c r="C89" s="12">
        <v>1</v>
      </c>
      <c r="D89" s="1"/>
      <c r="E89" s="3">
        <v>1</v>
      </c>
      <c r="I89" s="3">
        <v>1</v>
      </c>
      <c r="L89" s="3">
        <v>3</v>
      </c>
      <c r="T89" s="3">
        <v>1</v>
      </c>
      <c r="U89" s="3">
        <v>1</v>
      </c>
      <c r="W89" s="3">
        <v>1</v>
      </c>
      <c r="X89" s="3" t="s">
        <v>114</v>
      </c>
      <c r="Y89" s="44">
        <f t="shared" si="2"/>
        <v>8</v>
      </c>
      <c r="Z89" s="44">
        <v>153</v>
      </c>
      <c r="AA89" s="1" t="s">
        <v>310</v>
      </c>
      <c r="AB89" s="8">
        <v>69.72</v>
      </c>
      <c r="AC89" s="8">
        <v>17.16</v>
      </c>
      <c r="AD89" s="36">
        <v>40</v>
      </c>
    </row>
    <row r="90" spans="1:30" x14ac:dyDescent="0.15">
      <c r="A90" s="2" t="s">
        <v>841</v>
      </c>
      <c r="B90" s="1" t="s">
        <v>76</v>
      </c>
      <c r="C90" s="12">
        <v>1</v>
      </c>
      <c r="T90" s="3">
        <v>2</v>
      </c>
      <c r="V90" s="3">
        <v>1</v>
      </c>
      <c r="Y90" s="44">
        <f t="shared" si="2"/>
        <v>4</v>
      </c>
      <c r="Z90" s="44">
        <v>158</v>
      </c>
      <c r="AA90" s="1" t="s">
        <v>383</v>
      </c>
      <c r="AB90" s="8">
        <v>73</v>
      </c>
      <c r="AC90" s="8">
        <v>2</v>
      </c>
      <c r="AD90" s="36">
        <v>50</v>
      </c>
    </row>
    <row r="91" spans="1:30" x14ac:dyDescent="0.15">
      <c r="A91" s="2" t="s">
        <v>841</v>
      </c>
      <c r="B91" s="123" t="s">
        <v>886</v>
      </c>
      <c r="C91" s="12">
        <v>1</v>
      </c>
      <c r="X91" s="3" t="s">
        <v>108</v>
      </c>
      <c r="Y91" s="44">
        <f t="shared" si="2"/>
        <v>1</v>
      </c>
      <c r="Z91" s="44">
        <v>22</v>
      </c>
      <c r="AA91" s="1" t="s">
        <v>247</v>
      </c>
      <c r="AB91" s="8">
        <v>77</v>
      </c>
      <c r="AC91" s="8">
        <v>5</v>
      </c>
      <c r="AD91" s="36">
        <v>31</v>
      </c>
    </row>
    <row r="92" spans="1:30" x14ac:dyDescent="0.15">
      <c r="A92" s="2" t="s">
        <v>575</v>
      </c>
      <c r="B92" s="123" t="s">
        <v>886</v>
      </c>
      <c r="C92" s="12"/>
      <c r="E92" s="3">
        <v>1</v>
      </c>
      <c r="H92" s="3">
        <v>3</v>
      </c>
      <c r="R92" s="3">
        <v>1</v>
      </c>
      <c r="S92" s="3">
        <v>1</v>
      </c>
      <c r="Y92" s="44">
        <f t="shared" si="2"/>
        <v>4</v>
      </c>
      <c r="Z92" s="44">
        <v>160</v>
      </c>
      <c r="AA92" s="1" t="s">
        <v>354</v>
      </c>
      <c r="AB92" s="8">
        <v>80</v>
      </c>
      <c r="AC92" s="8"/>
      <c r="AD92" s="36">
        <v>43</v>
      </c>
    </row>
    <row r="93" spans="1:30" x14ac:dyDescent="0.15">
      <c r="A93" s="2" t="s">
        <v>15</v>
      </c>
      <c r="B93" s="1" t="s">
        <v>885</v>
      </c>
      <c r="C93" s="12"/>
      <c r="E93" s="3">
        <v>1</v>
      </c>
      <c r="F93" s="3">
        <v>1</v>
      </c>
      <c r="H93" s="3">
        <v>3</v>
      </c>
      <c r="V93" s="3">
        <v>1</v>
      </c>
      <c r="Y93" s="44">
        <f t="shared" si="2"/>
        <v>6</v>
      </c>
      <c r="Z93" s="44">
        <v>9</v>
      </c>
      <c r="AA93" s="1" t="s">
        <v>372</v>
      </c>
      <c r="AB93" s="8">
        <v>81.900000000000006</v>
      </c>
      <c r="AC93" s="8"/>
      <c r="AD93" s="36">
        <v>48</v>
      </c>
    </row>
    <row r="94" spans="1:30" x14ac:dyDescent="0.15">
      <c r="A94" s="2" t="s">
        <v>15</v>
      </c>
      <c r="B94" s="1" t="s">
        <v>885</v>
      </c>
      <c r="C94" s="12"/>
      <c r="E94" s="3">
        <v>1</v>
      </c>
      <c r="F94" s="3">
        <v>1</v>
      </c>
      <c r="H94" s="3">
        <v>3</v>
      </c>
      <c r="Y94" s="44">
        <f t="shared" si="2"/>
        <v>5</v>
      </c>
      <c r="Z94" s="44">
        <v>60</v>
      </c>
      <c r="AA94" s="1" t="s">
        <v>529</v>
      </c>
      <c r="AB94" s="8">
        <v>82.5</v>
      </c>
      <c r="AC94" s="8">
        <v>5.2</v>
      </c>
      <c r="AD94" s="36">
        <v>67</v>
      </c>
    </row>
    <row r="95" spans="1:30" x14ac:dyDescent="0.15">
      <c r="A95" s="2" t="s">
        <v>15</v>
      </c>
      <c r="B95" s="1" t="s">
        <v>885</v>
      </c>
      <c r="C95" s="12"/>
      <c r="E95" s="3">
        <v>1</v>
      </c>
      <c r="F95" s="3">
        <v>1</v>
      </c>
      <c r="H95" s="3">
        <v>3</v>
      </c>
      <c r="Y95" s="44">
        <f t="shared" si="2"/>
        <v>5</v>
      </c>
      <c r="Z95" s="44">
        <v>17</v>
      </c>
      <c r="AA95" s="1" t="s">
        <v>523</v>
      </c>
      <c r="AB95" s="8">
        <v>85.1</v>
      </c>
      <c r="AC95" s="8">
        <v>6.1</v>
      </c>
      <c r="AD95" s="36">
        <v>67</v>
      </c>
    </row>
    <row r="96" spans="1:30" x14ac:dyDescent="0.15">
      <c r="A96" s="2" t="s">
        <v>15</v>
      </c>
      <c r="B96" s="1" t="s">
        <v>885</v>
      </c>
      <c r="C96" s="12"/>
      <c r="E96" s="3">
        <v>1</v>
      </c>
      <c r="F96" s="3">
        <v>1</v>
      </c>
      <c r="H96" s="3">
        <v>3</v>
      </c>
      <c r="T96" s="3">
        <v>1</v>
      </c>
      <c r="Y96" s="44">
        <f t="shared" si="2"/>
        <v>6</v>
      </c>
      <c r="Z96" s="44">
        <v>135</v>
      </c>
      <c r="AA96" s="1" t="s">
        <v>371</v>
      </c>
      <c r="AB96" s="8">
        <v>86.2</v>
      </c>
      <c r="AC96" s="8"/>
      <c r="AD96" s="36">
        <v>48</v>
      </c>
    </row>
    <row r="97" spans="1:39" x14ac:dyDescent="0.15">
      <c r="A97" s="2" t="s">
        <v>15</v>
      </c>
      <c r="B97" s="1" t="s">
        <v>885</v>
      </c>
      <c r="C97" s="12"/>
      <c r="E97" s="3">
        <v>1</v>
      </c>
      <c r="F97" s="3">
        <v>1</v>
      </c>
      <c r="H97" s="3">
        <v>3</v>
      </c>
      <c r="V97" s="3">
        <v>2</v>
      </c>
      <c r="Y97" s="44">
        <f t="shared" ref="Y97:Y115" si="3">SUM(C97:M97,O97:P97,T97:V97)</f>
        <v>7</v>
      </c>
      <c r="Z97" s="44">
        <v>134</v>
      </c>
      <c r="AA97" s="1" t="s">
        <v>373</v>
      </c>
      <c r="AB97" s="8">
        <v>87.4</v>
      </c>
      <c r="AC97" s="8"/>
      <c r="AD97" s="36">
        <v>48</v>
      </c>
    </row>
    <row r="98" spans="1:39" x14ac:dyDescent="0.15">
      <c r="A98" s="2" t="s">
        <v>841</v>
      </c>
      <c r="B98" s="1" t="s">
        <v>885</v>
      </c>
      <c r="C98" s="12">
        <v>2</v>
      </c>
      <c r="D98" s="1"/>
      <c r="E98" s="3">
        <v>1</v>
      </c>
      <c r="F98" s="3">
        <v>1</v>
      </c>
      <c r="J98" s="3">
        <v>1</v>
      </c>
      <c r="L98" s="3">
        <v>2</v>
      </c>
      <c r="T98" s="3">
        <v>2</v>
      </c>
      <c r="V98" s="3">
        <v>4</v>
      </c>
      <c r="Y98" s="44">
        <f t="shared" si="3"/>
        <v>13</v>
      </c>
      <c r="Z98" s="44">
        <v>122</v>
      </c>
      <c r="AA98" s="1" t="s">
        <v>309</v>
      </c>
      <c r="AB98" s="5">
        <v>105.2</v>
      </c>
      <c r="AC98" s="5">
        <v>6.6799999999999988</v>
      </c>
      <c r="AD98" s="36">
        <v>40</v>
      </c>
    </row>
    <row r="99" spans="1:39" x14ac:dyDescent="0.15">
      <c r="A99" s="2" t="s">
        <v>15</v>
      </c>
      <c r="B99" s="1" t="s">
        <v>885</v>
      </c>
      <c r="C99" s="12"/>
      <c r="E99" s="3">
        <v>1</v>
      </c>
      <c r="F99" s="3">
        <v>1</v>
      </c>
      <c r="H99" s="3">
        <v>4</v>
      </c>
      <c r="Y99" s="44">
        <f t="shared" si="3"/>
        <v>6</v>
      </c>
      <c r="Z99" s="44">
        <v>74</v>
      </c>
      <c r="AA99" s="1" t="s">
        <v>687</v>
      </c>
      <c r="AB99" s="5">
        <v>122.2</v>
      </c>
      <c r="AC99" s="8"/>
      <c r="AD99" s="36">
        <v>48</v>
      </c>
    </row>
    <row r="100" spans="1:39" x14ac:dyDescent="0.15">
      <c r="A100" s="2" t="s">
        <v>841</v>
      </c>
      <c r="B100" s="1" t="s">
        <v>885</v>
      </c>
      <c r="C100" s="12">
        <v>3</v>
      </c>
      <c r="E100" s="3">
        <v>1</v>
      </c>
      <c r="H100" s="3">
        <v>2</v>
      </c>
      <c r="K100" s="3">
        <v>6</v>
      </c>
      <c r="L100" s="3">
        <v>1</v>
      </c>
      <c r="T100" s="3">
        <v>7</v>
      </c>
      <c r="U100" s="3">
        <v>1</v>
      </c>
      <c r="W100" s="3">
        <v>2</v>
      </c>
      <c r="Y100" s="44">
        <f t="shared" si="3"/>
        <v>21</v>
      </c>
      <c r="Z100" s="44">
        <v>166</v>
      </c>
      <c r="AA100" s="1" t="s">
        <v>295</v>
      </c>
      <c r="AB100" s="5">
        <v>149.46666666666667</v>
      </c>
      <c r="AC100" s="5">
        <v>27.670441509548464</v>
      </c>
      <c r="AD100" s="36" t="s">
        <v>550</v>
      </c>
    </row>
    <row r="101" spans="1:39" x14ac:dyDescent="0.15">
      <c r="A101" s="2" t="s">
        <v>15</v>
      </c>
      <c r="B101" s="1" t="s">
        <v>886</v>
      </c>
      <c r="C101" s="12"/>
      <c r="E101" s="3">
        <v>2</v>
      </c>
      <c r="F101" s="3">
        <v>1</v>
      </c>
      <c r="U101" s="3">
        <v>1</v>
      </c>
      <c r="X101" s="3" t="s">
        <v>140</v>
      </c>
      <c r="Y101" s="44">
        <f t="shared" si="3"/>
        <v>4</v>
      </c>
      <c r="Z101" s="44">
        <v>211</v>
      </c>
      <c r="AA101" s="1" t="s">
        <v>286</v>
      </c>
      <c r="AB101" s="5">
        <v>153.86648715797511</v>
      </c>
      <c r="AC101" s="5">
        <v>59.904394948519759</v>
      </c>
      <c r="AD101" s="36" t="s">
        <v>791</v>
      </c>
    </row>
    <row r="102" spans="1:39" x14ac:dyDescent="0.15">
      <c r="A102" s="2" t="s">
        <v>841</v>
      </c>
      <c r="B102" s="1" t="s">
        <v>76</v>
      </c>
      <c r="C102" s="12">
        <v>1</v>
      </c>
      <c r="D102" s="3">
        <v>1</v>
      </c>
      <c r="T102" s="3">
        <v>1</v>
      </c>
      <c r="V102" s="3">
        <v>1</v>
      </c>
      <c r="Y102" s="44">
        <f t="shared" si="3"/>
        <v>4</v>
      </c>
      <c r="Z102" s="44">
        <v>154</v>
      </c>
      <c r="AA102" s="1" t="s">
        <v>382</v>
      </c>
      <c r="AB102" s="5">
        <v>179</v>
      </c>
      <c r="AC102" s="5">
        <v>10</v>
      </c>
      <c r="AD102" s="36">
        <v>50</v>
      </c>
    </row>
    <row r="103" spans="1:39" x14ac:dyDescent="0.15">
      <c r="A103" s="2" t="s">
        <v>841</v>
      </c>
      <c r="B103" s="1" t="s">
        <v>76</v>
      </c>
      <c r="C103" s="12">
        <v>1</v>
      </c>
      <c r="D103" s="3">
        <v>1</v>
      </c>
      <c r="T103" s="3">
        <v>1</v>
      </c>
      <c r="V103" s="3">
        <v>1</v>
      </c>
      <c r="Y103" s="44">
        <f t="shared" si="3"/>
        <v>4</v>
      </c>
      <c r="Z103" s="44">
        <v>175</v>
      </c>
      <c r="AA103" s="1" t="s">
        <v>384</v>
      </c>
      <c r="AB103" s="5">
        <v>219</v>
      </c>
      <c r="AC103" s="5">
        <v>13</v>
      </c>
      <c r="AD103" s="36">
        <v>50</v>
      </c>
    </row>
    <row r="104" spans="1:39" x14ac:dyDescent="0.15">
      <c r="A104" s="2" t="s">
        <v>841</v>
      </c>
      <c r="B104" s="1" t="s">
        <v>885</v>
      </c>
      <c r="C104" s="12">
        <v>3</v>
      </c>
      <c r="E104" s="3">
        <v>2</v>
      </c>
      <c r="H104" s="3">
        <v>4</v>
      </c>
      <c r="K104" s="3">
        <v>6</v>
      </c>
      <c r="L104" s="3">
        <v>1</v>
      </c>
      <c r="T104" s="3">
        <v>7</v>
      </c>
      <c r="U104" s="3">
        <v>1</v>
      </c>
      <c r="W104" s="3">
        <v>2</v>
      </c>
      <c r="Y104" s="44">
        <f t="shared" si="3"/>
        <v>24</v>
      </c>
      <c r="Z104" s="44">
        <v>167</v>
      </c>
      <c r="AA104" s="1" t="s">
        <v>296</v>
      </c>
      <c r="AB104" s="5">
        <v>229.7</v>
      </c>
      <c r="AC104" s="5">
        <v>23.051681066681446</v>
      </c>
      <c r="AD104" s="36" t="s">
        <v>549</v>
      </c>
    </row>
    <row r="105" spans="1:39" ht="15" customHeight="1" x14ac:dyDescent="0.15">
      <c r="A105" s="35" t="s">
        <v>841</v>
      </c>
      <c r="B105" s="1" t="s">
        <v>885</v>
      </c>
      <c r="C105" s="12">
        <v>3</v>
      </c>
      <c r="E105" s="3">
        <v>2</v>
      </c>
      <c r="H105" s="3">
        <v>3</v>
      </c>
      <c r="I105" s="3">
        <v>1</v>
      </c>
      <c r="K105" s="3">
        <v>7</v>
      </c>
      <c r="L105" s="3">
        <v>1</v>
      </c>
      <c r="T105" s="3">
        <v>7</v>
      </c>
      <c r="U105" s="3">
        <v>1</v>
      </c>
      <c r="W105" s="3">
        <v>2</v>
      </c>
      <c r="Y105" s="44">
        <f t="shared" si="3"/>
        <v>25</v>
      </c>
      <c r="Z105" s="44">
        <v>169</v>
      </c>
      <c r="AA105" s="1" t="s">
        <v>297</v>
      </c>
      <c r="AB105" s="5">
        <v>237.35</v>
      </c>
      <c r="AC105" s="5">
        <v>50.416713498600707</v>
      </c>
      <c r="AD105" s="36" t="s">
        <v>549</v>
      </c>
      <c r="AK105" s="3"/>
    </row>
    <row r="106" spans="1:39" ht="15" customHeight="1" x14ac:dyDescent="0.15">
      <c r="A106" s="35" t="s">
        <v>841</v>
      </c>
      <c r="B106" s="1" t="s">
        <v>885</v>
      </c>
      <c r="C106" s="12">
        <v>1</v>
      </c>
      <c r="E106" s="3">
        <v>2</v>
      </c>
      <c r="J106" s="3">
        <v>1</v>
      </c>
      <c r="L106" s="3">
        <v>1</v>
      </c>
      <c r="T106" s="3">
        <v>1</v>
      </c>
      <c r="Y106" s="44">
        <f t="shared" si="3"/>
        <v>6</v>
      </c>
      <c r="Z106" s="44">
        <v>105</v>
      </c>
      <c r="AA106" s="1" t="s">
        <v>282</v>
      </c>
      <c r="AB106" s="5">
        <v>272.86666666666667</v>
      </c>
      <c r="AC106" s="5">
        <v>25.819630774535359</v>
      </c>
      <c r="AD106" s="36" t="s">
        <v>751</v>
      </c>
      <c r="AJ106" s="3"/>
      <c r="AK106" s="34"/>
      <c r="AL106" s="4"/>
      <c r="AM106" s="31"/>
    </row>
    <row r="107" spans="1:39" ht="15" customHeight="1" x14ac:dyDescent="0.15">
      <c r="A107" s="35" t="s">
        <v>15</v>
      </c>
      <c r="B107" s="1" t="s">
        <v>885</v>
      </c>
      <c r="C107" s="12"/>
      <c r="E107" s="3">
        <v>1</v>
      </c>
      <c r="F107" s="3">
        <v>1</v>
      </c>
      <c r="H107" s="3">
        <v>3</v>
      </c>
      <c r="K107" s="3">
        <v>1</v>
      </c>
      <c r="V107" s="3">
        <v>2</v>
      </c>
      <c r="Y107" s="44">
        <f t="shared" si="3"/>
        <v>8</v>
      </c>
      <c r="Z107" s="44">
        <v>197</v>
      </c>
      <c r="AA107" s="1" t="s">
        <v>424</v>
      </c>
      <c r="AB107" s="5">
        <v>283</v>
      </c>
      <c r="AC107" s="6"/>
      <c r="AD107" s="36">
        <v>59</v>
      </c>
      <c r="AJ107" s="3"/>
      <c r="AL107" s="4"/>
      <c r="AM107" s="31"/>
    </row>
    <row r="108" spans="1:39" x14ac:dyDescent="0.15">
      <c r="A108" s="35" t="s">
        <v>841</v>
      </c>
      <c r="B108" s="1" t="s">
        <v>885</v>
      </c>
      <c r="C108" s="12">
        <v>1</v>
      </c>
      <c r="E108" s="3">
        <v>1</v>
      </c>
      <c r="K108" s="3">
        <v>1</v>
      </c>
      <c r="Y108" s="44">
        <f t="shared" si="3"/>
        <v>3</v>
      </c>
      <c r="Z108" s="44">
        <v>41</v>
      </c>
      <c r="AA108" s="1" t="s">
        <v>623</v>
      </c>
      <c r="AB108" s="3">
        <v>305</v>
      </c>
      <c r="AC108" s="5">
        <v>13.333333333333334</v>
      </c>
      <c r="AD108" s="36">
        <v>87</v>
      </c>
      <c r="AJ108" s="3"/>
      <c r="AL108" s="4"/>
      <c r="AM108" s="31"/>
    </row>
    <row r="109" spans="1:39" x14ac:dyDescent="0.15">
      <c r="A109" s="35" t="s">
        <v>841</v>
      </c>
      <c r="B109" s="1" t="s">
        <v>885</v>
      </c>
      <c r="C109" s="12">
        <v>3</v>
      </c>
      <c r="E109" s="3">
        <v>1</v>
      </c>
      <c r="H109" s="3">
        <v>2</v>
      </c>
      <c r="J109" s="3">
        <v>2</v>
      </c>
      <c r="K109" s="3">
        <v>6</v>
      </c>
      <c r="L109" s="3">
        <v>2</v>
      </c>
      <c r="T109" s="3">
        <v>7</v>
      </c>
      <c r="U109" s="3">
        <v>1</v>
      </c>
      <c r="W109" s="3">
        <v>2</v>
      </c>
      <c r="Y109" s="44">
        <f t="shared" si="3"/>
        <v>24</v>
      </c>
      <c r="Z109" s="44">
        <v>168</v>
      </c>
      <c r="AA109" s="1" t="s">
        <v>261</v>
      </c>
      <c r="AB109" s="5">
        <v>338.88333333333333</v>
      </c>
      <c r="AC109" s="5">
        <v>54.00149689283338</v>
      </c>
      <c r="AD109" s="36" t="s">
        <v>551</v>
      </c>
      <c r="AJ109" s="3"/>
      <c r="AL109" s="4"/>
      <c r="AM109" s="31"/>
    </row>
    <row r="110" spans="1:39" x14ac:dyDescent="0.15">
      <c r="A110" s="2" t="s">
        <v>841</v>
      </c>
      <c r="B110" s="1" t="s">
        <v>885</v>
      </c>
      <c r="C110" s="12">
        <v>3</v>
      </c>
      <c r="E110" s="3">
        <v>2</v>
      </c>
      <c r="F110" s="3">
        <v>1</v>
      </c>
      <c r="H110" s="3">
        <v>4</v>
      </c>
      <c r="J110" s="3">
        <v>2</v>
      </c>
      <c r="K110" s="3">
        <v>6</v>
      </c>
      <c r="L110" s="3">
        <v>2</v>
      </c>
      <c r="T110" s="3">
        <v>7</v>
      </c>
      <c r="U110" s="3">
        <v>1</v>
      </c>
      <c r="W110" s="3">
        <v>2</v>
      </c>
      <c r="Y110" s="44">
        <f t="shared" si="3"/>
        <v>28</v>
      </c>
      <c r="Z110" s="44">
        <v>171</v>
      </c>
      <c r="AA110" s="1" t="s">
        <v>265</v>
      </c>
      <c r="AB110" s="5">
        <v>394.66666666666669</v>
      </c>
      <c r="AC110" s="5">
        <v>11.955891155967119</v>
      </c>
      <c r="AD110" s="36" t="s">
        <v>553</v>
      </c>
      <c r="AJ110" s="3"/>
      <c r="AL110" s="4"/>
      <c r="AM110" s="31"/>
    </row>
    <row r="111" spans="1:39" x14ac:dyDescent="0.15">
      <c r="A111" s="2" t="s">
        <v>15</v>
      </c>
      <c r="B111" s="1" t="s">
        <v>886</v>
      </c>
      <c r="C111" s="12"/>
      <c r="E111" s="3">
        <v>2</v>
      </c>
      <c r="F111" s="3">
        <v>2</v>
      </c>
      <c r="X111" s="3" t="s">
        <v>415</v>
      </c>
      <c r="Y111" s="44">
        <f t="shared" si="3"/>
        <v>4</v>
      </c>
      <c r="Z111" s="44">
        <v>205</v>
      </c>
      <c r="AA111" s="1" t="s">
        <v>414</v>
      </c>
      <c r="AB111" s="5">
        <v>460</v>
      </c>
      <c r="AC111" s="5"/>
      <c r="AD111" s="36">
        <v>56</v>
      </c>
      <c r="AJ111" s="3"/>
      <c r="AL111" s="4"/>
      <c r="AM111" s="31"/>
    </row>
    <row r="112" spans="1:39" x14ac:dyDescent="0.15">
      <c r="A112" s="2" t="s">
        <v>841</v>
      </c>
      <c r="B112" s="1" t="s">
        <v>885</v>
      </c>
      <c r="C112" s="12">
        <v>3</v>
      </c>
      <c r="E112" s="3">
        <v>1</v>
      </c>
      <c r="J112" s="3">
        <v>4</v>
      </c>
      <c r="K112" s="3">
        <v>6</v>
      </c>
      <c r="L112" s="3">
        <v>3</v>
      </c>
      <c r="T112" s="3">
        <v>7</v>
      </c>
      <c r="U112" s="3">
        <v>1</v>
      </c>
      <c r="W112" s="3">
        <v>2</v>
      </c>
      <c r="Y112" s="44">
        <f t="shared" si="3"/>
        <v>25</v>
      </c>
      <c r="Z112" s="44">
        <v>170</v>
      </c>
      <c r="AA112" s="1" t="s">
        <v>218</v>
      </c>
      <c r="AB112" s="5">
        <v>484.03999999999996</v>
      </c>
      <c r="AC112" s="5">
        <v>49.692584959931402</v>
      </c>
      <c r="AD112" s="36" t="s">
        <v>552</v>
      </c>
      <c r="AJ112" s="3"/>
      <c r="AL112" s="4"/>
      <c r="AM112" s="31"/>
    </row>
    <row r="113" spans="1:39" x14ac:dyDescent="0.15">
      <c r="A113" s="2" t="s">
        <v>841</v>
      </c>
      <c r="B113" s="1" t="s">
        <v>76</v>
      </c>
      <c r="C113" s="12">
        <v>3</v>
      </c>
      <c r="D113" s="1"/>
      <c r="J113" s="3">
        <v>1</v>
      </c>
      <c r="K113" s="3">
        <v>1</v>
      </c>
      <c r="L113" s="3">
        <v>3</v>
      </c>
      <c r="O113" s="3">
        <v>2</v>
      </c>
      <c r="R113" s="3">
        <v>2</v>
      </c>
      <c r="T113" s="3">
        <v>2</v>
      </c>
      <c r="V113" s="3">
        <v>1</v>
      </c>
      <c r="W113" s="3">
        <v>1</v>
      </c>
      <c r="Y113" s="44">
        <f t="shared" si="3"/>
        <v>13</v>
      </c>
      <c r="Z113" s="44">
        <v>107</v>
      </c>
      <c r="AA113" s="1" t="s">
        <v>308</v>
      </c>
      <c r="AB113" s="5">
        <v>731.6</v>
      </c>
      <c r="AC113" s="5">
        <v>62</v>
      </c>
      <c r="AD113" s="36">
        <v>40</v>
      </c>
      <c r="AJ113" s="3"/>
      <c r="AL113" s="4"/>
      <c r="AM113" s="31"/>
    </row>
    <row r="114" spans="1:39" x14ac:dyDescent="0.15">
      <c r="A114" s="2" t="s">
        <v>15</v>
      </c>
      <c r="B114" s="1" t="s">
        <v>885</v>
      </c>
      <c r="C114" s="12"/>
      <c r="D114" s="1"/>
      <c r="E114" s="3">
        <v>1</v>
      </c>
      <c r="F114" s="3">
        <v>1</v>
      </c>
      <c r="K114" s="3">
        <v>1</v>
      </c>
      <c r="T114" s="3">
        <v>1</v>
      </c>
      <c r="Y114" s="44">
        <f t="shared" si="3"/>
        <v>4</v>
      </c>
      <c r="Z114" s="44">
        <v>77</v>
      </c>
      <c r="AA114" s="1" t="s">
        <v>307</v>
      </c>
      <c r="AB114" s="5">
        <v>1436</v>
      </c>
      <c r="AC114" s="5">
        <v>197.2</v>
      </c>
      <c r="AD114" s="36">
        <v>40</v>
      </c>
      <c r="AJ114" s="3"/>
      <c r="AL114" s="4"/>
      <c r="AM114" s="31"/>
    </row>
    <row r="115" spans="1:39" x14ac:dyDescent="0.15">
      <c r="A115" s="15" t="s">
        <v>841</v>
      </c>
      <c r="B115" s="19" t="s">
        <v>885</v>
      </c>
      <c r="C115" s="71">
        <v>1</v>
      </c>
      <c r="D115" s="16"/>
      <c r="E115" s="16"/>
      <c r="F115" s="16"/>
      <c r="G115" s="16"/>
      <c r="H115" s="16"/>
      <c r="I115" s="16"/>
      <c r="J115" s="16"/>
      <c r="K115" s="16">
        <v>1</v>
      </c>
      <c r="L115" s="16"/>
      <c r="M115" s="16"/>
      <c r="N115" s="16"/>
      <c r="O115" s="16"/>
      <c r="P115" s="16"/>
      <c r="Q115" s="16"/>
      <c r="R115" s="16"/>
      <c r="S115" s="16"/>
      <c r="T115" s="16">
        <v>1</v>
      </c>
      <c r="U115" s="16"/>
      <c r="V115" s="16"/>
      <c r="W115" s="16"/>
      <c r="X115" s="16"/>
      <c r="Y115" s="77">
        <f t="shared" si="3"/>
        <v>3</v>
      </c>
      <c r="Z115" s="77">
        <v>85</v>
      </c>
      <c r="AA115" s="19" t="s">
        <v>271</v>
      </c>
      <c r="AB115" s="17">
        <v>21000</v>
      </c>
      <c r="AC115" s="17">
        <v>3000</v>
      </c>
      <c r="AD115" s="73">
        <v>33</v>
      </c>
      <c r="AJ115" s="3"/>
      <c r="AL115" s="4"/>
      <c r="AM115" s="31"/>
    </row>
  </sheetData>
  <sortState xmlns:xlrd2="http://schemas.microsoft.com/office/spreadsheetml/2017/richdata2" ref="A12:AD115">
    <sortCondition ref="AB12:AB115"/>
  </sortState>
  <mergeCells count="6">
    <mergeCell ref="C9:X9"/>
    <mergeCell ref="C10:D10"/>
    <mergeCell ref="E10:H10"/>
    <mergeCell ref="I10:P10"/>
    <mergeCell ref="R10:S10"/>
    <mergeCell ref="T10:W10"/>
  </mergeCells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E0F7-A0A6-C248-8638-FD5284C35221}">
  <dimension ref="A1:R24"/>
  <sheetViews>
    <sheetView workbookViewId="0">
      <selection activeCell="D12" sqref="D12"/>
    </sheetView>
  </sheetViews>
  <sheetFormatPr baseColWidth="10" defaultRowHeight="14" x14ac:dyDescent="0.15"/>
  <cols>
    <col min="1" max="1" width="4.1640625" style="1" bestFit="1" customWidth="1"/>
    <col min="2" max="2" width="13.83203125" style="1" bestFit="1" customWidth="1"/>
    <col min="3" max="3" width="10.83203125" style="1"/>
    <col min="4" max="4" width="11.33203125" style="1" bestFit="1" customWidth="1"/>
    <col min="5" max="5" width="22.5" style="1" bestFit="1" customWidth="1"/>
    <col min="6" max="6" width="11.5" style="1" bestFit="1" customWidth="1"/>
    <col min="7" max="7" width="20" style="1" customWidth="1"/>
    <col min="8" max="8" width="20" style="1" bestFit="1" customWidth="1"/>
    <col min="9" max="9" width="10.83203125" style="1"/>
    <col min="10" max="10" width="14.33203125" style="1" customWidth="1"/>
    <col min="11" max="13" width="10.83203125" style="1"/>
    <col min="14" max="14" width="18" style="1" bestFit="1" customWidth="1"/>
    <col min="15" max="16384" width="10.83203125" style="1"/>
  </cols>
  <sheetData>
    <row r="1" spans="1:18" x14ac:dyDescent="0.15">
      <c r="A1" s="1" t="s">
        <v>917</v>
      </c>
    </row>
    <row r="3" spans="1:18" x14ac:dyDescent="0.15">
      <c r="A3" s="118" t="s">
        <v>90</v>
      </c>
      <c r="B3" s="121" t="s">
        <v>1</v>
      </c>
      <c r="C3" s="119" t="s">
        <v>2</v>
      </c>
      <c r="D3" s="120" t="s">
        <v>843</v>
      </c>
      <c r="E3" s="126" t="s">
        <v>899</v>
      </c>
    </row>
    <row r="4" spans="1:18" x14ac:dyDescent="0.15">
      <c r="A4" s="12">
        <v>166</v>
      </c>
      <c r="B4" s="86" t="s">
        <v>295</v>
      </c>
      <c r="C4" s="5">
        <v>149.46666666666667</v>
      </c>
      <c r="D4" s="9">
        <v>27.670441509548464</v>
      </c>
      <c r="E4" s="9" t="s">
        <v>550</v>
      </c>
    </row>
    <row r="5" spans="1:18" x14ac:dyDescent="0.15">
      <c r="A5" s="12">
        <v>167</v>
      </c>
      <c r="B5" s="86" t="s">
        <v>296</v>
      </c>
      <c r="C5" s="5">
        <v>229.7</v>
      </c>
      <c r="D5" s="9">
        <v>23.051681066681446</v>
      </c>
      <c r="E5" s="9" t="s">
        <v>549</v>
      </c>
    </row>
    <row r="6" spans="1:18" ht="15" customHeight="1" x14ac:dyDescent="0.15">
      <c r="A6" s="12">
        <v>169</v>
      </c>
      <c r="B6" s="86" t="s">
        <v>297</v>
      </c>
      <c r="C6" s="5">
        <v>237.35</v>
      </c>
      <c r="D6" s="9">
        <v>50.416713498600707</v>
      </c>
      <c r="E6" s="9" t="s">
        <v>549</v>
      </c>
      <c r="F6" s="34"/>
      <c r="P6" s="3"/>
    </row>
    <row r="7" spans="1:18" x14ac:dyDescent="0.15">
      <c r="A7" s="12">
        <v>168</v>
      </c>
      <c r="B7" s="86" t="s">
        <v>261</v>
      </c>
      <c r="C7" s="5">
        <v>338.88333333333333</v>
      </c>
      <c r="D7" s="9">
        <v>54.00149689283338</v>
      </c>
      <c r="E7" s="9" t="s">
        <v>551</v>
      </c>
      <c r="F7" s="34"/>
      <c r="O7" s="3"/>
      <c r="Q7" s="4"/>
      <c r="R7" s="31"/>
    </row>
    <row r="8" spans="1:18" x14ac:dyDescent="0.15">
      <c r="A8" s="12">
        <v>171</v>
      </c>
      <c r="B8" s="86" t="s">
        <v>265</v>
      </c>
      <c r="C8" s="5">
        <v>394.66666666666669</v>
      </c>
      <c r="D8" s="9">
        <v>11.955891155967119</v>
      </c>
      <c r="E8" s="9" t="s">
        <v>553</v>
      </c>
      <c r="O8" s="3"/>
      <c r="Q8" s="4"/>
      <c r="R8" s="31"/>
    </row>
    <row r="9" spans="1:18" x14ac:dyDescent="0.15">
      <c r="A9" s="71">
        <v>170</v>
      </c>
      <c r="B9" s="94" t="s">
        <v>218</v>
      </c>
      <c r="C9" s="17">
        <v>484.03999999999996</v>
      </c>
      <c r="D9" s="18">
        <v>49.692584959931402</v>
      </c>
      <c r="E9" s="18" t="s">
        <v>552</v>
      </c>
      <c r="O9" s="3"/>
      <c r="Q9" s="4"/>
      <c r="R9" s="31"/>
    </row>
    <row r="10" spans="1:18" x14ac:dyDescent="0.15">
      <c r="B10" s="136" t="s">
        <v>842</v>
      </c>
      <c r="C10" s="137">
        <f>AVERAGE(C4:C9)</f>
        <v>305.68444444444441</v>
      </c>
      <c r="D10" s="138">
        <f>STDEV(C4:C9)</f>
        <v>123.02677146172816</v>
      </c>
    </row>
    <row r="13" spans="1:18" ht="15" customHeight="1" x14ac:dyDescent="0.15">
      <c r="B13" s="166" t="s">
        <v>844</v>
      </c>
      <c r="C13" s="167"/>
      <c r="D13" s="168"/>
      <c r="E13" s="169" t="s">
        <v>867</v>
      </c>
    </row>
    <row r="14" spans="1:18" x14ac:dyDescent="0.15">
      <c r="B14" s="87" t="s">
        <v>1</v>
      </c>
      <c r="C14" s="88" t="s">
        <v>2</v>
      </c>
      <c r="D14" s="89" t="s">
        <v>3</v>
      </c>
      <c r="E14" s="170"/>
      <c r="F14" s="92" t="s">
        <v>845</v>
      </c>
      <c r="G14" s="92" t="s">
        <v>846</v>
      </c>
      <c r="H14" s="92" t="s">
        <v>847</v>
      </c>
      <c r="I14" s="92" t="s">
        <v>848</v>
      </c>
      <c r="J14" s="92" t="s">
        <v>849</v>
      </c>
      <c r="K14" s="92" t="s">
        <v>850</v>
      </c>
      <c r="L14" s="102" t="s">
        <v>851</v>
      </c>
      <c r="M14" s="92" t="s">
        <v>852</v>
      </c>
      <c r="N14" s="103" t="s">
        <v>853</v>
      </c>
    </row>
    <row r="15" spans="1:18" x14ac:dyDescent="0.15">
      <c r="B15" s="21" t="s">
        <v>295</v>
      </c>
      <c r="C15" s="90">
        <v>149.46666666666667</v>
      </c>
      <c r="D15" s="91">
        <v>27.670441509548464</v>
      </c>
      <c r="E15" s="21" t="s">
        <v>854</v>
      </c>
      <c r="F15" s="20" t="s">
        <v>855</v>
      </c>
      <c r="G15" s="20">
        <v>41</v>
      </c>
      <c r="H15" s="104" t="s">
        <v>856</v>
      </c>
      <c r="I15" s="20" t="s">
        <v>408</v>
      </c>
      <c r="J15" s="104">
        <v>71.099999999999994</v>
      </c>
      <c r="K15" s="20" t="s">
        <v>857</v>
      </c>
      <c r="L15" s="104">
        <v>1.1000000000000001</v>
      </c>
      <c r="M15" s="20">
        <v>0.05</v>
      </c>
      <c r="N15" s="105" t="s">
        <v>858</v>
      </c>
    </row>
    <row r="16" spans="1:18" x14ac:dyDescent="0.15">
      <c r="B16" s="2" t="s">
        <v>296</v>
      </c>
      <c r="C16" s="5">
        <v>229.7</v>
      </c>
      <c r="D16" s="9">
        <v>23.051681066681446</v>
      </c>
      <c r="E16" s="2" t="s">
        <v>859</v>
      </c>
      <c r="F16" s="3" t="s">
        <v>855</v>
      </c>
      <c r="G16" s="3">
        <v>100</v>
      </c>
      <c r="H16" s="51" t="s">
        <v>856</v>
      </c>
      <c r="I16" s="3" t="s">
        <v>408</v>
      </c>
      <c r="J16" s="51">
        <v>147.19999999999999</v>
      </c>
      <c r="K16" s="3" t="s">
        <v>857</v>
      </c>
      <c r="L16" s="51">
        <v>8</v>
      </c>
      <c r="M16" s="3">
        <v>0.04</v>
      </c>
      <c r="N16" s="68" t="s">
        <v>858</v>
      </c>
    </row>
    <row r="17" spans="2:14" x14ac:dyDescent="0.15">
      <c r="B17" s="2" t="s">
        <v>297</v>
      </c>
      <c r="C17" s="5">
        <v>237.35</v>
      </c>
      <c r="D17" s="9">
        <v>50.416713498600707</v>
      </c>
      <c r="E17" s="2" t="s">
        <v>860</v>
      </c>
      <c r="F17" s="3" t="s">
        <v>855</v>
      </c>
      <c r="G17" s="3">
        <v>97</v>
      </c>
      <c r="H17" s="51" t="s">
        <v>856</v>
      </c>
      <c r="I17" s="3" t="s">
        <v>408</v>
      </c>
      <c r="J17" s="51">
        <v>186.2</v>
      </c>
      <c r="K17" s="3" t="s">
        <v>861</v>
      </c>
      <c r="L17" s="51">
        <v>12.1</v>
      </c>
      <c r="M17" s="3">
        <v>0.05</v>
      </c>
      <c r="N17" s="68" t="s">
        <v>862</v>
      </c>
    </row>
    <row r="18" spans="2:14" x14ac:dyDescent="0.15">
      <c r="B18" s="15" t="s">
        <v>261</v>
      </c>
      <c r="C18" s="17">
        <v>338.88333333333333</v>
      </c>
      <c r="D18" s="18">
        <v>54.00149689283338</v>
      </c>
      <c r="E18" s="15" t="s">
        <v>863</v>
      </c>
      <c r="F18" s="16" t="s">
        <v>864</v>
      </c>
      <c r="G18" s="16">
        <v>-14</v>
      </c>
      <c r="H18" s="106" t="s">
        <v>865</v>
      </c>
      <c r="I18" s="16">
        <v>13.2</v>
      </c>
      <c r="J18" s="106">
        <v>156.19999999999999</v>
      </c>
      <c r="K18" s="16" t="s">
        <v>861</v>
      </c>
      <c r="L18" s="106">
        <v>8.5</v>
      </c>
      <c r="M18" s="16">
        <v>-0.26</v>
      </c>
      <c r="N18" s="107" t="s">
        <v>866</v>
      </c>
    </row>
    <row r="19" spans="2:14" x14ac:dyDescent="0.15">
      <c r="B19" s="166" t="s">
        <v>868</v>
      </c>
      <c r="C19" s="167"/>
      <c r="D19" s="168"/>
      <c r="E19" s="169" t="s">
        <v>871</v>
      </c>
    </row>
    <row r="20" spans="2:14" x14ac:dyDescent="0.15">
      <c r="B20" s="87" t="s">
        <v>1</v>
      </c>
      <c r="C20" s="88" t="s">
        <v>2</v>
      </c>
      <c r="D20" s="89" t="s">
        <v>3</v>
      </c>
      <c r="E20" s="170"/>
      <c r="F20" s="92" t="s">
        <v>845</v>
      </c>
      <c r="G20" s="92" t="s">
        <v>846</v>
      </c>
      <c r="H20" s="92" t="s">
        <v>847</v>
      </c>
      <c r="I20" s="92" t="s">
        <v>848</v>
      </c>
      <c r="J20" s="92" t="s">
        <v>849</v>
      </c>
      <c r="K20" s="92" t="s">
        <v>850</v>
      </c>
      <c r="L20" s="102" t="s">
        <v>851</v>
      </c>
      <c r="M20" s="92" t="s">
        <v>852</v>
      </c>
      <c r="N20" s="103" t="s">
        <v>853</v>
      </c>
    </row>
    <row r="21" spans="2:14" x14ac:dyDescent="0.15">
      <c r="B21" s="21" t="s">
        <v>261</v>
      </c>
      <c r="C21" s="90">
        <v>338.88333333333333</v>
      </c>
      <c r="D21" s="91">
        <v>54.00149689283338</v>
      </c>
      <c r="E21" s="93" t="s">
        <v>869</v>
      </c>
      <c r="F21" s="20" t="s">
        <v>855</v>
      </c>
      <c r="G21" s="104">
        <v>97</v>
      </c>
      <c r="H21" s="104" t="s">
        <v>856</v>
      </c>
      <c r="I21" s="20" t="s">
        <v>408</v>
      </c>
      <c r="J21" s="104">
        <v>113.2</v>
      </c>
      <c r="K21" s="20" t="s">
        <v>857</v>
      </c>
      <c r="L21" s="20">
        <v>4.2</v>
      </c>
      <c r="M21" s="20">
        <v>0.02</v>
      </c>
      <c r="N21" s="105" t="s">
        <v>858</v>
      </c>
    </row>
    <row r="22" spans="2:14" x14ac:dyDescent="0.15">
      <c r="B22" s="2" t="s">
        <v>265</v>
      </c>
      <c r="C22" s="5">
        <v>394.66666666666669</v>
      </c>
      <c r="D22" s="9">
        <v>11.955891155967119</v>
      </c>
      <c r="E22" s="86" t="s">
        <v>870</v>
      </c>
      <c r="F22" s="3" t="s">
        <v>855</v>
      </c>
      <c r="G22" s="51">
        <v>63</v>
      </c>
      <c r="H22" s="51" t="s">
        <v>856</v>
      </c>
      <c r="I22" s="3">
        <v>10.1</v>
      </c>
      <c r="J22" s="51">
        <v>186.2</v>
      </c>
      <c r="K22" s="3" t="s">
        <v>861</v>
      </c>
      <c r="L22" s="3">
        <v>8.8000000000000007</v>
      </c>
      <c r="M22" s="3">
        <v>0.05</v>
      </c>
      <c r="N22" s="68" t="s">
        <v>862</v>
      </c>
    </row>
    <row r="23" spans="2:14" x14ac:dyDescent="0.15">
      <c r="B23" s="15" t="s">
        <v>218</v>
      </c>
      <c r="C23" s="17">
        <v>484.03999999999996</v>
      </c>
      <c r="D23" s="18">
        <v>49.692584959931409</v>
      </c>
      <c r="E23" s="94" t="s">
        <v>863</v>
      </c>
      <c r="F23" s="16" t="s">
        <v>864</v>
      </c>
      <c r="G23" s="106">
        <v>-14</v>
      </c>
      <c r="H23" s="106" t="s">
        <v>865</v>
      </c>
      <c r="I23" s="16">
        <v>13.2</v>
      </c>
      <c r="J23" s="106">
        <v>156.19999999999999</v>
      </c>
      <c r="K23" s="16" t="s">
        <v>861</v>
      </c>
      <c r="L23" s="16">
        <v>8.5</v>
      </c>
      <c r="M23" s="16">
        <v>-0.26</v>
      </c>
      <c r="N23" s="107" t="s">
        <v>866</v>
      </c>
    </row>
    <row r="24" spans="2:14" x14ac:dyDescent="0.15">
      <c r="E24" s="1" t="s">
        <v>872</v>
      </c>
      <c r="F24" s="1" t="s">
        <v>873</v>
      </c>
      <c r="G24" s="1" t="s">
        <v>874</v>
      </c>
      <c r="H24" s="1" t="s">
        <v>873</v>
      </c>
      <c r="I24" s="1" t="s">
        <v>873</v>
      </c>
      <c r="J24" s="1" t="s">
        <v>875</v>
      </c>
      <c r="K24" s="1" t="s">
        <v>875</v>
      </c>
      <c r="L24" s="1" t="s">
        <v>876</v>
      </c>
      <c r="M24" s="1" t="s">
        <v>877</v>
      </c>
      <c r="N24" s="1" t="s">
        <v>878</v>
      </c>
    </row>
  </sheetData>
  <mergeCells count="4">
    <mergeCell ref="B13:D13"/>
    <mergeCell ref="E13:E14"/>
    <mergeCell ref="B19:D19"/>
    <mergeCell ref="E19:E20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C71F-5FB2-5D4C-8DEF-845B5CE70EA6}">
  <dimension ref="A1:AA97"/>
  <sheetViews>
    <sheetView tabSelected="1" workbookViewId="0">
      <selection activeCell="B3" sqref="B3"/>
    </sheetView>
  </sheetViews>
  <sheetFormatPr baseColWidth="10" defaultRowHeight="14" x14ac:dyDescent="0.15"/>
  <cols>
    <col min="1" max="1" width="38.1640625" style="1" bestFit="1" customWidth="1"/>
    <col min="2" max="3" width="10.83203125" style="1"/>
    <col min="4" max="4" width="7.1640625" style="3" bestFit="1" customWidth="1"/>
    <col min="5" max="5" width="10.83203125" style="3"/>
    <col min="6" max="6" width="33" style="1" customWidth="1"/>
    <col min="7" max="9" width="10.83203125" style="1"/>
    <col min="10" max="10" width="3.83203125" style="1" bestFit="1" customWidth="1"/>
    <col min="11" max="12" width="10.83203125" style="1"/>
    <col min="13" max="13" width="8.33203125" style="1" bestFit="1" customWidth="1"/>
    <col min="14" max="14" width="10.83203125" style="1"/>
    <col min="15" max="15" width="11.1640625" style="1" bestFit="1" customWidth="1"/>
    <col min="16" max="16" width="5.6640625" style="1" bestFit="1" customWidth="1"/>
    <col min="17" max="17" width="5" style="1" bestFit="1" customWidth="1"/>
    <col min="18" max="16384" width="10.83203125" style="1"/>
  </cols>
  <sheetData>
    <row r="1" spans="1:17" x14ac:dyDescent="0.15">
      <c r="A1" s="1" t="s">
        <v>918</v>
      </c>
    </row>
    <row r="2" spans="1:17" ht="16" customHeight="1" x14ac:dyDescent="0.15">
      <c r="A2" s="10" t="s">
        <v>1</v>
      </c>
      <c r="B2" s="14" t="s">
        <v>2</v>
      </c>
      <c r="C2" s="14" t="s">
        <v>3</v>
      </c>
      <c r="D2" s="27" t="s">
        <v>5</v>
      </c>
      <c r="E2" s="22" t="s">
        <v>9</v>
      </c>
      <c r="F2" s="26" t="s">
        <v>629</v>
      </c>
      <c r="G2" s="14" t="s">
        <v>7</v>
      </c>
      <c r="H2" s="14" t="s">
        <v>8</v>
      </c>
      <c r="I2" s="14" t="s">
        <v>51</v>
      </c>
      <c r="J2" s="28" t="s">
        <v>90</v>
      </c>
      <c r="M2" s="1" t="s">
        <v>879</v>
      </c>
      <c r="N2" s="1" t="s">
        <v>880</v>
      </c>
      <c r="O2" s="1" t="s">
        <v>881</v>
      </c>
      <c r="P2" s="1" t="s">
        <v>508</v>
      </c>
      <c r="Q2" s="1" t="s">
        <v>882</v>
      </c>
    </row>
    <row r="3" spans="1:17" x14ac:dyDescent="0.15">
      <c r="A3" s="2" t="s">
        <v>249</v>
      </c>
      <c r="B3" s="8">
        <v>74</v>
      </c>
      <c r="C3" s="8">
        <v>7</v>
      </c>
      <c r="D3" s="29">
        <v>7</v>
      </c>
      <c r="E3" s="5">
        <v>25</v>
      </c>
      <c r="F3" s="30" t="s">
        <v>112</v>
      </c>
      <c r="G3" s="1" t="s">
        <v>24</v>
      </c>
      <c r="H3" s="1" t="s">
        <v>250</v>
      </c>
      <c r="I3" s="3" t="s">
        <v>251</v>
      </c>
      <c r="J3" s="23">
        <v>31</v>
      </c>
      <c r="L3" s="1" t="s">
        <v>883</v>
      </c>
      <c r="M3" s="1">
        <v>7.5</v>
      </c>
      <c r="N3" s="1">
        <v>12.5</v>
      </c>
      <c r="O3" s="1">
        <f>AVERAGE(M3:N3)</f>
        <v>10</v>
      </c>
      <c r="P3" s="33">
        <f t="shared" ref="P3:P34" si="0">B3</f>
        <v>74</v>
      </c>
      <c r="Q3" s="33">
        <f t="shared" ref="Q3:Q34" si="1">C3</f>
        <v>7</v>
      </c>
    </row>
    <row r="4" spans="1:17" x14ac:dyDescent="0.15">
      <c r="A4" s="2" t="s">
        <v>249</v>
      </c>
      <c r="B4" s="8">
        <v>13.58</v>
      </c>
      <c r="C4" s="8"/>
      <c r="D4" s="12">
        <v>7</v>
      </c>
      <c r="E4" s="3">
        <v>19</v>
      </c>
      <c r="F4" s="13" t="s">
        <v>346</v>
      </c>
      <c r="G4" s="1" t="s">
        <v>133</v>
      </c>
      <c r="H4" s="1">
        <v>5</v>
      </c>
      <c r="I4" s="1">
        <v>5.0000000000000002E-5</v>
      </c>
      <c r="J4" s="23">
        <v>41</v>
      </c>
      <c r="L4" s="1" t="s">
        <v>883</v>
      </c>
      <c r="M4" s="31">
        <f>O4</f>
        <v>5</v>
      </c>
      <c r="O4" s="1">
        <f>H4</f>
        <v>5</v>
      </c>
      <c r="P4" s="33">
        <f t="shared" si="0"/>
        <v>13.58</v>
      </c>
      <c r="Q4" s="33">
        <f t="shared" si="1"/>
        <v>0</v>
      </c>
    </row>
    <row r="5" spans="1:17" x14ac:dyDescent="0.15">
      <c r="A5" s="2" t="s">
        <v>249</v>
      </c>
      <c r="B5" s="8">
        <v>16.2</v>
      </c>
      <c r="C5" s="8">
        <f>0.206/24.3*B5</f>
        <v>0.13733333333333334</v>
      </c>
      <c r="D5" s="12">
        <v>5.3</v>
      </c>
      <c r="E5" s="3">
        <v>22</v>
      </c>
      <c r="F5" s="13" t="s">
        <v>686</v>
      </c>
      <c r="G5" s="1" t="s">
        <v>133</v>
      </c>
      <c r="H5" s="1">
        <v>9.4</v>
      </c>
      <c r="I5" s="1">
        <v>1.5E-3</v>
      </c>
      <c r="J5" s="23">
        <v>46</v>
      </c>
      <c r="L5" s="1" t="s">
        <v>883</v>
      </c>
      <c r="M5" s="31">
        <f>O5</f>
        <v>9.4</v>
      </c>
      <c r="O5" s="1">
        <f>H5</f>
        <v>9.4</v>
      </c>
      <c r="P5" s="33">
        <f t="shared" si="0"/>
        <v>16.2</v>
      </c>
      <c r="Q5" s="33">
        <f t="shared" si="1"/>
        <v>0.13733333333333334</v>
      </c>
    </row>
    <row r="6" spans="1:17" x14ac:dyDescent="0.15">
      <c r="A6" s="15" t="s">
        <v>249</v>
      </c>
      <c r="B6" s="83">
        <v>24.1</v>
      </c>
      <c r="C6" s="83"/>
      <c r="D6" s="71">
        <v>7</v>
      </c>
      <c r="E6" s="16">
        <v>25</v>
      </c>
      <c r="F6" s="72" t="s">
        <v>368</v>
      </c>
      <c r="G6" s="19" t="s">
        <v>133</v>
      </c>
      <c r="H6" s="19">
        <v>10</v>
      </c>
      <c r="I6" s="19">
        <v>5.0000000000000002E-5</v>
      </c>
      <c r="J6" s="97">
        <v>47</v>
      </c>
      <c r="L6" s="19" t="s">
        <v>883</v>
      </c>
      <c r="M6" s="142">
        <f>O6</f>
        <v>10</v>
      </c>
      <c r="N6" s="19"/>
      <c r="O6" s="19">
        <f>H6</f>
        <v>10</v>
      </c>
      <c r="P6" s="143">
        <f t="shared" si="0"/>
        <v>24.1</v>
      </c>
      <c r="Q6" s="143">
        <f t="shared" si="1"/>
        <v>0</v>
      </c>
    </row>
    <row r="7" spans="1:17" x14ac:dyDescent="0.15">
      <c r="A7" s="2" t="s">
        <v>180</v>
      </c>
      <c r="B7" s="8">
        <f>0.0334/60/(0.002/158)</f>
        <v>43.976666666666667</v>
      </c>
      <c r="C7" s="8"/>
      <c r="D7" s="12">
        <v>7.2</v>
      </c>
      <c r="E7" s="3">
        <v>16</v>
      </c>
      <c r="F7" s="13" t="s">
        <v>178</v>
      </c>
      <c r="G7" s="1" t="s">
        <v>133</v>
      </c>
      <c r="H7" s="31">
        <f>13/(100/163)</f>
        <v>21.19</v>
      </c>
      <c r="I7" s="1">
        <v>1.2999999999999999E-5</v>
      </c>
      <c r="J7" s="23">
        <v>25</v>
      </c>
      <c r="L7" s="21" t="s">
        <v>180</v>
      </c>
      <c r="M7" s="31">
        <f>O7</f>
        <v>21.19</v>
      </c>
      <c r="N7" s="144"/>
      <c r="O7" s="145">
        <f>H7</f>
        <v>21.19</v>
      </c>
      <c r="P7" s="146">
        <f t="shared" si="0"/>
        <v>43.976666666666667</v>
      </c>
      <c r="Q7" s="146">
        <f t="shared" si="1"/>
        <v>0</v>
      </c>
    </row>
    <row r="8" spans="1:17" x14ac:dyDescent="0.15">
      <c r="A8" s="2" t="s">
        <v>180</v>
      </c>
      <c r="B8" s="5">
        <v>142</v>
      </c>
      <c r="C8" s="5">
        <v>3</v>
      </c>
      <c r="D8" s="29">
        <v>7</v>
      </c>
      <c r="E8" s="5">
        <v>25</v>
      </c>
      <c r="F8" s="30" t="s">
        <v>112</v>
      </c>
      <c r="G8" s="1" t="s">
        <v>24</v>
      </c>
      <c r="H8" s="1" t="s">
        <v>97</v>
      </c>
      <c r="I8" s="1" t="s">
        <v>248</v>
      </c>
      <c r="J8" s="23">
        <v>31</v>
      </c>
      <c r="L8" s="2" t="s">
        <v>180</v>
      </c>
      <c r="M8" s="1">
        <v>10</v>
      </c>
      <c r="N8" s="1">
        <v>30</v>
      </c>
      <c r="O8" s="1">
        <f>AVERAGE(M8:N8)</f>
        <v>20</v>
      </c>
      <c r="P8" s="33">
        <f t="shared" si="0"/>
        <v>142</v>
      </c>
      <c r="Q8" s="33">
        <f t="shared" si="1"/>
        <v>3</v>
      </c>
    </row>
    <row r="9" spans="1:17" x14ac:dyDescent="0.15">
      <c r="A9" s="2" t="s">
        <v>180</v>
      </c>
      <c r="B9" s="8">
        <v>19.100000000000001</v>
      </c>
      <c r="C9" s="8">
        <f>0.05*B9</f>
        <v>0.95500000000000007</v>
      </c>
      <c r="D9" s="12">
        <v>7</v>
      </c>
      <c r="E9" s="3">
        <v>23</v>
      </c>
      <c r="F9" s="13" t="s">
        <v>289</v>
      </c>
      <c r="G9" s="1" t="s">
        <v>133</v>
      </c>
      <c r="H9" s="1" t="s">
        <v>75</v>
      </c>
      <c r="I9" s="1" t="s">
        <v>75</v>
      </c>
      <c r="J9" s="23">
        <v>37</v>
      </c>
      <c r="L9" s="2" t="s">
        <v>180</v>
      </c>
      <c r="M9" s="31">
        <v>0</v>
      </c>
      <c r="O9" s="31" t="str">
        <f t="shared" ref="O9:O14" si="2">H9</f>
        <v>?</v>
      </c>
      <c r="P9" s="33">
        <f t="shared" si="0"/>
        <v>19.100000000000001</v>
      </c>
      <c r="Q9" s="33">
        <f t="shared" si="1"/>
        <v>0.95500000000000007</v>
      </c>
    </row>
    <row r="10" spans="1:17" x14ac:dyDescent="0.15">
      <c r="A10" s="2" t="s">
        <v>180</v>
      </c>
      <c r="B10" s="6">
        <v>3.8</v>
      </c>
      <c r="C10" s="6">
        <f>0.0479/5.74*B10</f>
        <v>3.171080139372822E-2</v>
      </c>
      <c r="D10" s="12">
        <v>5.3</v>
      </c>
      <c r="E10" s="3">
        <v>22</v>
      </c>
      <c r="F10" s="13" t="s">
        <v>686</v>
      </c>
      <c r="G10" s="1" t="s">
        <v>133</v>
      </c>
      <c r="H10" s="1">
        <v>9.4</v>
      </c>
      <c r="I10" s="1">
        <v>1.5E-3</v>
      </c>
      <c r="J10" s="23">
        <v>46</v>
      </c>
      <c r="L10" s="2" t="s">
        <v>180</v>
      </c>
      <c r="M10" s="31">
        <f>O10</f>
        <v>9.4</v>
      </c>
      <c r="O10" s="31">
        <f t="shared" si="2"/>
        <v>9.4</v>
      </c>
      <c r="P10" s="33">
        <f t="shared" si="0"/>
        <v>3.8</v>
      </c>
      <c r="Q10" s="33">
        <f t="shared" si="1"/>
        <v>3.171080139372822E-2</v>
      </c>
    </row>
    <row r="11" spans="1:17" x14ac:dyDescent="0.15">
      <c r="A11" s="15" t="s">
        <v>180</v>
      </c>
      <c r="B11" s="83">
        <v>18.7</v>
      </c>
      <c r="C11" s="83"/>
      <c r="D11" s="71">
        <v>7</v>
      </c>
      <c r="E11" s="16">
        <v>25</v>
      </c>
      <c r="F11" s="72" t="s">
        <v>368</v>
      </c>
      <c r="G11" s="19" t="s">
        <v>133</v>
      </c>
      <c r="H11" s="19">
        <v>10</v>
      </c>
      <c r="I11" s="19">
        <v>5.0000000000000002E-5</v>
      </c>
      <c r="J11" s="111">
        <v>47</v>
      </c>
      <c r="L11" s="15" t="s">
        <v>180</v>
      </c>
      <c r="M11" s="142">
        <f>O11</f>
        <v>10</v>
      </c>
      <c r="N11" s="19"/>
      <c r="O11" s="142">
        <f t="shared" si="2"/>
        <v>10</v>
      </c>
      <c r="P11" s="143">
        <f t="shared" si="0"/>
        <v>18.7</v>
      </c>
      <c r="Q11" s="143">
        <f t="shared" si="1"/>
        <v>0</v>
      </c>
    </row>
    <row r="12" spans="1:17" x14ac:dyDescent="0.15">
      <c r="A12" s="2" t="s">
        <v>181</v>
      </c>
      <c r="B12" s="8">
        <f>0.0243/60/(0.002/158)</f>
        <v>31.994999999999997</v>
      </c>
      <c r="C12" s="8"/>
      <c r="D12" s="12">
        <v>7.2</v>
      </c>
      <c r="E12" s="3">
        <v>16</v>
      </c>
      <c r="F12" s="13" t="s">
        <v>178</v>
      </c>
      <c r="G12" s="1" t="s">
        <v>133</v>
      </c>
      <c r="H12" s="31">
        <f>13/(100/163)</f>
        <v>21.19</v>
      </c>
      <c r="I12" s="1">
        <v>1.2999999999999999E-5</v>
      </c>
      <c r="J12" s="23">
        <v>25</v>
      </c>
      <c r="L12" s="1" t="str">
        <f t="shared" ref="L12:L43" si="3">A12</f>
        <v>2,6-Dichlorophenol</v>
      </c>
      <c r="M12" s="31">
        <f>O12</f>
        <v>21.19</v>
      </c>
      <c r="O12" s="31">
        <f t="shared" si="2"/>
        <v>21.19</v>
      </c>
      <c r="P12" s="33">
        <f t="shared" si="0"/>
        <v>31.994999999999997</v>
      </c>
      <c r="Q12" s="33">
        <f t="shared" si="1"/>
        <v>0</v>
      </c>
    </row>
    <row r="13" spans="1:17" x14ac:dyDescent="0.15">
      <c r="A13" s="2" t="s">
        <v>181</v>
      </c>
      <c r="B13" s="8">
        <v>12.9</v>
      </c>
      <c r="C13" s="7">
        <f>0.0627/19.4*B13</f>
        <v>4.1692268041237122E-2</v>
      </c>
      <c r="D13" s="12">
        <v>5.3</v>
      </c>
      <c r="E13" s="3">
        <v>22</v>
      </c>
      <c r="F13" s="13" t="s">
        <v>686</v>
      </c>
      <c r="G13" s="1" t="s">
        <v>133</v>
      </c>
      <c r="H13" s="1">
        <v>9.4</v>
      </c>
      <c r="I13" s="1">
        <v>1.5E-3</v>
      </c>
      <c r="J13" s="23">
        <v>46</v>
      </c>
      <c r="L13" s="1" t="str">
        <f t="shared" si="3"/>
        <v>2,6-Dichlorophenol</v>
      </c>
      <c r="M13" s="31">
        <f>O13</f>
        <v>9.4</v>
      </c>
      <c r="O13" s="31">
        <f t="shared" si="2"/>
        <v>9.4</v>
      </c>
      <c r="P13" s="33">
        <f t="shared" si="0"/>
        <v>12.9</v>
      </c>
      <c r="Q13" s="33">
        <f t="shared" si="1"/>
        <v>4.1692268041237122E-2</v>
      </c>
    </row>
    <row r="14" spans="1:17" x14ac:dyDescent="0.15">
      <c r="A14" s="2" t="s">
        <v>181</v>
      </c>
      <c r="B14" s="8">
        <v>43.67</v>
      </c>
      <c r="C14" s="8"/>
      <c r="D14" s="12">
        <v>7</v>
      </c>
      <c r="E14" s="3">
        <v>25</v>
      </c>
      <c r="F14" s="13" t="s">
        <v>368</v>
      </c>
      <c r="G14" s="1" t="s">
        <v>133</v>
      </c>
      <c r="H14" s="1">
        <v>10</v>
      </c>
      <c r="I14" s="1">
        <v>5.0000000000000002E-5</v>
      </c>
      <c r="J14" s="23">
        <v>47</v>
      </c>
      <c r="L14" s="1" t="str">
        <f t="shared" si="3"/>
        <v>2,6-Dichlorophenol</v>
      </c>
      <c r="M14" s="31">
        <f>O14</f>
        <v>10</v>
      </c>
      <c r="O14" s="31">
        <f t="shared" si="2"/>
        <v>10</v>
      </c>
      <c r="P14" s="33">
        <f t="shared" si="0"/>
        <v>43.67</v>
      </c>
      <c r="Q14" s="33">
        <f t="shared" si="1"/>
        <v>0</v>
      </c>
    </row>
    <row r="15" spans="1:17" x14ac:dyDescent="0.15">
      <c r="A15" s="2" t="s">
        <v>181</v>
      </c>
      <c r="B15" s="31">
        <f>21400/60</f>
        <v>356.66666666666669</v>
      </c>
      <c r="C15" s="31">
        <f>1000/60</f>
        <v>16.666666666666668</v>
      </c>
      <c r="D15" s="12">
        <v>7</v>
      </c>
      <c r="E15" s="3">
        <v>25</v>
      </c>
      <c r="F15" s="13" t="s">
        <v>430</v>
      </c>
      <c r="G15" s="1" t="s">
        <v>620</v>
      </c>
      <c r="H15" s="1" t="s">
        <v>408</v>
      </c>
      <c r="I15" s="1" t="s">
        <v>408</v>
      </c>
      <c r="J15" s="23">
        <v>87</v>
      </c>
      <c r="L15" s="19" t="str">
        <f t="shared" si="3"/>
        <v>2,6-Dichlorophenol</v>
      </c>
      <c r="M15" s="142">
        <v>0</v>
      </c>
      <c r="N15" s="19"/>
      <c r="O15" s="142" t="s">
        <v>408</v>
      </c>
      <c r="P15" s="143">
        <f t="shared" si="0"/>
        <v>356.66666666666669</v>
      </c>
      <c r="Q15" s="143">
        <f t="shared" si="1"/>
        <v>16.666666666666668</v>
      </c>
    </row>
    <row r="16" spans="1:17" x14ac:dyDescent="0.15">
      <c r="A16" s="2" t="s">
        <v>252</v>
      </c>
      <c r="B16" s="8">
        <v>13.4</v>
      </c>
      <c r="C16" s="8">
        <v>0.7</v>
      </c>
      <c r="D16" s="29">
        <v>7</v>
      </c>
      <c r="E16" s="5">
        <v>25</v>
      </c>
      <c r="F16" s="30" t="s">
        <v>112</v>
      </c>
      <c r="G16" s="1" t="s">
        <v>24</v>
      </c>
      <c r="H16" s="1" t="s">
        <v>253</v>
      </c>
      <c r="I16" s="3" t="s">
        <v>48</v>
      </c>
      <c r="J16" s="23">
        <v>31</v>
      </c>
      <c r="L16" s="144" t="str">
        <f t="shared" si="3"/>
        <v>3-Chlorophenol</v>
      </c>
      <c r="M16" s="144">
        <v>10</v>
      </c>
      <c r="N16" s="144">
        <v>60</v>
      </c>
      <c r="O16" s="144">
        <f>AVERAGE(M16:N16)</f>
        <v>35</v>
      </c>
      <c r="P16" s="146">
        <f t="shared" si="0"/>
        <v>13.4</v>
      </c>
      <c r="Q16" s="146">
        <f t="shared" si="1"/>
        <v>0.7</v>
      </c>
    </row>
    <row r="17" spans="1:17" x14ac:dyDescent="0.15">
      <c r="A17" s="2" t="s">
        <v>252</v>
      </c>
      <c r="B17" s="6">
        <v>0.95</v>
      </c>
      <c r="C17" s="6">
        <f>0.0011/1.42*B17</f>
        <v>7.3591549295774653E-4</v>
      </c>
      <c r="D17" s="12">
        <v>5.3</v>
      </c>
      <c r="E17" s="3">
        <v>22</v>
      </c>
      <c r="F17" s="13" t="s">
        <v>686</v>
      </c>
      <c r="G17" s="1" t="s">
        <v>133</v>
      </c>
      <c r="H17" s="1">
        <v>9.4</v>
      </c>
      <c r="I17" s="1">
        <v>1.5E-3</v>
      </c>
      <c r="J17" s="23">
        <v>46</v>
      </c>
      <c r="L17" s="1" t="str">
        <f t="shared" si="3"/>
        <v>3-Chlorophenol</v>
      </c>
      <c r="M17" s="31">
        <f>O17</f>
        <v>9.4</v>
      </c>
      <c r="O17" s="31">
        <f>H17</f>
        <v>9.4</v>
      </c>
      <c r="P17" s="33">
        <f t="shared" si="0"/>
        <v>0.95</v>
      </c>
      <c r="Q17" s="33">
        <f t="shared" si="1"/>
        <v>7.3591549295774653E-4</v>
      </c>
    </row>
    <row r="18" spans="1:17" x14ac:dyDescent="0.15">
      <c r="A18" s="2" t="s">
        <v>252</v>
      </c>
      <c r="B18" s="6">
        <v>2.13</v>
      </c>
      <c r="C18" s="6"/>
      <c r="D18" s="12">
        <v>7</v>
      </c>
      <c r="E18" s="3">
        <v>25</v>
      </c>
      <c r="F18" s="13" t="s">
        <v>368</v>
      </c>
      <c r="G18" s="1" t="s">
        <v>133</v>
      </c>
      <c r="H18" s="1">
        <v>10</v>
      </c>
      <c r="I18" s="1">
        <v>5.0000000000000002E-5</v>
      </c>
      <c r="J18" s="23">
        <v>47</v>
      </c>
      <c r="L18" s="19" t="str">
        <f t="shared" si="3"/>
        <v>3-Chlorophenol</v>
      </c>
      <c r="M18" s="142">
        <f>O18</f>
        <v>10</v>
      </c>
      <c r="N18" s="19"/>
      <c r="O18" s="142">
        <f>H18</f>
        <v>10</v>
      </c>
      <c r="P18" s="143">
        <f t="shared" si="0"/>
        <v>2.13</v>
      </c>
      <c r="Q18" s="143">
        <f t="shared" si="1"/>
        <v>0</v>
      </c>
    </row>
    <row r="19" spans="1:17" x14ac:dyDescent="0.15">
      <c r="A19" s="2" t="s">
        <v>526</v>
      </c>
      <c r="B19" s="8">
        <v>98</v>
      </c>
      <c r="C19" s="8">
        <v>4</v>
      </c>
      <c r="D19" s="29">
        <v>7</v>
      </c>
      <c r="E19" s="5">
        <v>25</v>
      </c>
      <c r="F19" s="13" t="s">
        <v>112</v>
      </c>
      <c r="G19" s="1" t="s">
        <v>24</v>
      </c>
      <c r="H19" s="1" t="s">
        <v>97</v>
      </c>
      <c r="I19" s="1" t="s">
        <v>248</v>
      </c>
      <c r="J19" s="23">
        <v>31</v>
      </c>
      <c r="L19" s="144" t="str">
        <f t="shared" si="3"/>
        <v>3-Methylphenol (m-Cresol)</v>
      </c>
      <c r="M19" s="144">
        <v>10</v>
      </c>
      <c r="N19" s="144">
        <v>30</v>
      </c>
      <c r="O19" s="144">
        <f>AVERAGE(M19:N19)</f>
        <v>20</v>
      </c>
      <c r="P19" s="146">
        <f t="shared" si="0"/>
        <v>98</v>
      </c>
      <c r="Q19" s="146">
        <f t="shared" si="1"/>
        <v>4</v>
      </c>
    </row>
    <row r="20" spans="1:17" x14ac:dyDescent="0.15">
      <c r="A20" s="2" t="s">
        <v>526</v>
      </c>
      <c r="B20" s="8">
        <v>23.1</v>
      </c>
      <c r="C20" s="8">
        <v>1.7</v>
      </c>
      <c r="D20" s="12">
        <v>7</v>
      </c>
      <c r="E20" s="3">
        <v>25</v>
      </c>
      <c r="F20" s="13" t="s">
        <v>452</v>
      </c>
      <c r="G20" s="1" t="s">
        <v>133</v>
      </c>
      <c r="H20" s="1" t="s">
        <v>456</v>
      </c>
      <c r="I20" s="1" t="s">
        <v>453</v>
      </c>
      <c r="J20" s="23">
        <v>67</v>
      </c>
      <c r="L20" s="1" t="str">
        <f t="shared" si="3"/>
        <v>3-Methylphenol (m-Cresol)</v>
      </c>
      <c r="M20" s="1">
        <v>5</v>
      </c>
      <c r="N20" s="1">
        <v>30</v>
      </c>
      <c r="O20" s="1">
        <f>AVERAGE(M20:N20)</f>
        <v>17.5</v>
      </c>
      <c r="P20" s="33">
        <f t="shared" si="0"/>
        <v>23.1</v>
      </c>
      <c r="Q20" s="33">
        <f t="shared" si="1"/>
        <v>1.7</v>
      </c>
    </row>
    <row r="21" spans="1:17" x14ac:dyDescent="0.15">
      <c r="A21" s="2" t="s">
        <v>526</v>
      </c>
      <c r="B21" s="33">
        <f>4040/60</f>
        <v>67.333333333333329</v>
      </c>
      <c r="C21" s="33">
        <f>200/60</f>
        <v>3.3333333333333335</v>
      </c>
      <c r="D21" s="12">
        <v>7</v>
      </c>
      <c r="E21" s="3">
        <v>25</v>
      </c>
      <c r="F21" s="13" t="s">
        <v>430</v>
      </c>
      <c r="G21" s="1" t="s">
        <v>133</v>
      </c>
      <c r="H21" s="1" t="s">
        <v>617</v>
      </c>
      <c r="I21" s="1" t="s">
        <v>618</v>
      </c>
      <c r="J21" s="23">
        <v>87</v>
      </c>
      <c r="L21" s="19" t="str">
        <f t="shared" si="3"/>
        <v>3-Methylphenol (m-Cresol)</v>
      </c>
      <c r="M21" s="19">
        <v>6.8</v>
      </c>
      <c r="N21" s="19">
        <v>20.5</v>
      </c>
      <c r="O21" s="19">
        <f>AVERAGE(M21:N21)</f>
        <v>13.65</v>
      </c>
      <c r="P21" s="143">
        <f t="shared" si="0"/>
        <v>67.333333333333329</v>
      </c>
      <c r="Q21" s="143">
        <f t="shared" si="1"/>
        <v>3.3333333333333335</v>
      </c>
    </row>
    <row r="22" spans="1:17" x14ac:dyDescent="0.15">
      <c r="A22" s="2" t="s">
        <v>179</v>
      </c>
      <c r="B22" s="8">
        <f>0.0451/60/(0.002/158)</f>
        <v>59.381666666666661</v>
      </c>
      <c r="C22" s="8"/>
      <c r="D22" s="12">
        <v>7.2</v>
      </c>
      <c r="E22" s="3">
        <v>16</v>
      </c>
      <c r="F22" s="13" t="s">
        <v>178</v>
      </c>
      <c r="G22" s="1" t="s">
        <v>133</v>
      </c>
      <c r="H22" s="31">
        <f>13/(100/128.5)</f>
        <v>16.704999999999998</v>
      </c>
      <c r="I22" s="1">
        <v>1.2999999999999999E-5</v>
      </c>
      <c r="J22" s="23">
        <v>25</v>
      </c>
      <c r="L22" s="144" t="str">
        <f t="shared" si="3"/>
        <v>4-Chlorophenol</v>
      </c>
      <c r="M22" s="145">
        <f t="shared" ref="M22:M28" si="4">O22</f>
        <v>16.704999999999998</v>
      </c>
      <c r="N22" s="144"/>
      <c r="O22" s="145">
        <f t="shared" ref="O22:O28" si="5">H22</f>
        <v>16.704999999999998</v>
      </c>
      <c r="P22" s="146">
        <f t="shared" si="0"/>
        <v>59.381666666666661</v>
      </c>
      <c r="Q22" s="146">
        <f t="shared" si="1"/>
        <v>0</v>
      </c>
    </row>
    <row r="23" spans="1:17" x14ac:dyDescent="0.15">
      <c r="A23" s="2" t="s">
        <v>179</v>
      </c>
      <c r="B23" s="6">
        <v>4.2</v>
      </c>
      <c r="C23" s="6">
        <f>0.022/6.26*B23</f>
        <v>1.476038338658147E-2</v>
      </c>
      <c r="D23" s="12">
        <v>5.3</v>
      </c>
      <c r="E23" s="3">
        <v>22</v>
      </c>
      <c r="F23" s="13" t="s">
        <v>686</v>
      </c>
      <c r="G23" s="1" t="s">
        <v>133</v>
      </c>
      <c r="H23" s="1">
        <v>9.4</v>
      </c>
      <c r="I23" s="1">
        <v>1.5E-3</v>
      </c>
      <c r="J23" s="23">
        <v>46</v>
      </c>
      <c r="L23" s="1" t="str">
        <f t="shared" si="3"/>
        <v>4-Chlorophenol</v>
      </c>
      <c r="M23" s="31">
        <f t="shared" si="4"/>
        <v>9.4</v>
      </c>
      <c r="O23" s="31">
        <f t="shared" si="5"/>
        <v>9.4</v>
      </c>
      <c r="P23" s="33">
        <f t="shared" si="0"/>
        <v>4.2</v>
      </c>
      <c r="Q23" s="33">
        <f t="shared" si="1"/>
        <v>1.476038338658147E-2</v>
      </c>
    </row>
    <row r="24" spans="1:17" x14ac:dyDescent="0.15">
      <c r="A24" s="2" t="s">
        <v>179</v>
      </c>
      <c r="B24" s="6">
        <v>8.4</v>
      </c>
      <c r="C24" s="6"/>
      <c r="D24" s="12">
        <v>7</v>
      </c>
      <c r="E24" s="3">
        <v>25</v>
      </c>
      <c r="F24" s="13" t="s">
        <v>368</v>
      </c>
      <c r="G24" s="1" t="s">
        <v>133</v>
      </c>
      <c r="H24" s="1">
        <v>10</v>
      </c>
      <c r="I24" s="1">
        <v>5.0000000000000002E-5</v>
      </c>
      <c r="J24" s="23">
        <v>47</v>
      </c>
      <c r="L24" s="19" t="str">
        <f t="shared" si="3"/>
        <v>4-Chlorophenol</v>
      </c>
      <c r="M24" s="142">
        <f t="shared" si="4"/>
        <v>10</v>
      </c>
      <c r="N24" s="19"/>
      <c r="O24" s="142">
        <f t="shared" si="5"/>
        <v>10</v>
      </c>
      <c r="P24" s="143">
        <f t="shared" si="0"/>
        <v>8.4</v>
      </c>
      <c r="Q24" s="143">
        <f t="shared" si="1"/>
        <v>0</v>
      </c>
    </row>
    <row r="25" spans="1:17" x14ac:dyDescent="0.15">
      <c r="A25" s="2" t="s">
        <v>690</v>
      </c>
      <c r="B25" s="5">
        <v>128.91999999999999</v>
      </c>
      <c r="C25" s="5">
        <f>0.15/32.23*B25</f>
        <v>0.6</v>
      </c>
      <c r="D25" s="12">
        <v>7</v>
      </c>
      <c r="E25" s="3" t="s">
        <v>75</v>
      </c>
      <c r="F25" s="13" t="s">
        <v>112</v>
      </c>
      <c r="G25" s="1" t="s">
        <v>24</v>
      </c>
      <c r="H25" s="1">
        <v>5</v>
      </c>
      <c r="I25" s="1">
        <v>2.5000000000000001E-4</v>
      </c>
      <c r="J25" s="23">
        <v>40</v>
      </c>
      <c r="L25" s="144" t="str">
        <f t="shared" si="3"/>
        <v>Bisphenol-A (BPA)</v>
      </c>
      <c r="M25" s="145">
        <f t="shared" si="4"/>
        <v>5</v>
      </c>
      <c r="N25" s="144"/>
      <c r="O25" s="145">
        <f t="shared" si="5"/>
        <v>5</v>
      </c>
      <c r="P25" s="146">
        <f t="shared" si="0"/>
        <v>128.91999999999999</v>
      </c>
      <c r="Q25" s="146">
        <f t="shared" si="1"/>
        <v>0.6</v>
      </c>
    </row>
    <row r="26" spans="1:17" x14ac:dyDescent="0.15">
      <c r="A26" s="2" t="s">
        <v>690</v>
      </c>
      <c r="B26" s="8">
        <v>35.799999999999997</v>
      </c>
      <c r="C26" s="8"/>
      <c r="D26" s="12">
        <v>7</v>
      </c>
      <c r="E26" s="3">
        <v>23</v>
      </c>
      <c r="F26" s="13" t="s">
        <v>355</v>
      </c>
      <c r="G26" s="1" t="s">
        <v>133</v>
      </c>
      <c r="H26" s="1">
        <v>10</v>
      </c>
      <c r="I26" s="1">
        <v>6.0000000000000002E-5</v>
      </c>
      <c r="J26" s="23">
        <v>43</v>
      </c>
      <c r="L26" s="1" t="str">
        <f t="shared" si="3"/>
        <v>Bisphenol-A (BPA)</v>
      </c>
      <c r="M26" s="31">
        <f t="shared" si="4"/>
        <v>10</v>
      </c>
      <c r="O26" s="31">
        <f t="shared" si="5"/>
        <v>10</v>
      </c>
      <c r="P26" s="33">
        <f t="shared" si="0"/>
        <v>35.799999999999997</v>
      </c>
      <c r="Q26" s="33">
        <f t="shared" si="1"/>
        <v>0</v>
      </c>
    </row>
    <row r="27" spans="1:17" x14ac:dyDescent="0.15">
      <c r="A27" s="2" t="s">
        <v>690</v>
      </c>
      <c r="B27" s="5">
        <v>140</v>
      </c>
      <c r="C27" s="5">
        <v>20</v>
      </c>
      <c r="D27" s="12">
        <v>7.5</v>
      </c>
      <c r="E27" s="3">
        <v>25</v>
      </c>
      <c r="F27" s="13" t="s">
        <v>393</v>
      </c>
      <c r="G27" s="1" t="s">
        <v>133</v>
      </c>
      <c r="H27" s="31">
        <f>181/2.1</f>
        <v>86.19047619047619</v>
      </c>
      <c r="I27" s="1">
        <v>1.8100000000000001E-4</v>
      </c>
      <c r="J27" s="23">
        <v>52</v>
      </c>
      <c r="L27" s="1" t="str">
        <f t="shared" si="3"/>
        <v>Bisphenol-A (BPA)</v>
      </c>
      <c r="M27" s="31">
        <f t="shared" si="4"/>
        <v>86.19047619047619</v>
      </c>
      <c r="O27" s="31">
        <f t="shared" si="5"/>
        <v>86.19047619047619</v>
      </c>
      <c r="P27" s="33">
        <f t="shared" si="0"/>
        <v>140</v>
      </c>
      <c r="Q27" s="33">
        <f t="shared" si="1"/>
        <v>20</v>
      </c>
    </row>
    <row r="28" spans="1:17" x14ac:dyDescent="0.15">
      <c r="A28" s="2" t="s">
        <v>690</v>
      </c>
      <c r="B28" s="8">
        <v>130.4</v>
      </c>
      <c r="C28" s="8"/>
      <c r="D28" s="12">
        <v>7.5</v>
      </c>
      <c r="E28" s="3">
        <v>25</v>
      </c>
      <c r="F28" s="13" t="s">
        <v>401</v>
      </c>
      <c r="G28" s="1" t="s">
        <v>133</v>
      </c>
      <c r="H28" s="33">
        <f>181/8.4</f>
        <v>21.547619047619047</v>
      </c>
      <c r="I28" s="1">
        <v>1.8100000000000001E-4</v>
      </c>
      <c r="J28" s="23">
        <v>53</v>
      </c>
      <c r="L28" s="1" t="str">
        <f t="shared" si="3"/>
        <v>Bisphenol-A (BPA)</v>
      </c>
      <c r="M28" s="31">
        <f t="shared" si="4"/>
        <v>21.547619047619047</v>
      </c>
      <c r="O28" s="31">
        <f t="shared" si="5"/>
        <v>21.547619047619047</v>
      </c>
      <c r="P28" s="33">
        <f t="shared" si="0"/>
        <v>130.4</v>
      </c>
      <c r="Q28" s="33">
        <f t="shared" si="1"/>
        <v>0</v>
      </c>
    </row>
    <row r="29" spans="1:17" x14ac:dyDescent="0.15">
      <c r="A29" s="2" t="s">
        <v>690</v>
      </c>
      <c r="B29" s="8">
        <v>34</v>
      </c>
      <c r="C29" s="8">
        <v>1.7</v>
      </c>
      <c r="D29" s="12">
        <v>7</v>
      </c>
      <c r="E29" s="3">
        <v>25</v>
      </c>
      <c r="F29" s="13" t="s">
        <v>452</v>
      </c>
      <c r="G29" s="1" t="s">
        <v>133</v>
      </c>
      <c r="H29" s="1" t="s">
        <v>456</v>
      </c>
      <c r="I29" s="1" t="s">
        <v>453</v>
      </c>
      <c r="J29" s="23">
        <v>67</v>
      </c>
      <c r="L29" s="19" t="str">
        <f t="shared" si="3"/>
        <v>Bisphenol-A (BPA)</v>
      </c>
      <c r="M29" s="19">
        <v>5</v>
      </c>
      <c r="N29" s="19">
        <v>30</v>
      </c>
      <c r="O29" s="19">
        <f>AVERAGE(M29:N29)</f>
        <v>17.5</v>
      </c>
      <c r="P29" s="143">
        <f t="shared" si="0"/>
        <v>34</v>
      </c>
      <c r="Q29" s="143">
        <f t="shared" si="1"/>
        <v>1.7</v>
      </c>
    </row>
    <row r="30" spans="1:17" x14ac:dyDescent="0.15">
      <c r="A30" s="2" t="s">
        <v>282</v>
      </c>
      <c r="B30" s="5">
        <v>300</v>
      </c>
      <c r="C30" s="5">
        <v>30</v>
      </c>
      <c r="D30" s="12">
        <v>7</v>
      </c>
      <c r="E30" s="3">
        <v>25</v>
      </c>
      <c r="F30" s="13" t="s">
        <v>283</v>
      </c>
      <c r="G30" s="1" t="s">
        <v>133</v>
      </c>
      <c r="H30" s="1" t="s">
        <v>97</v>
      </c>
      <c r="I30" s="1" t="s">
        <v>272</v>
      </c>
      <c r="J30" s="23">
        <v>36</v>
      </c>
      <c r="L30" s="144" t="str">
        <f t="shared" si="3"/>
        <v>Carbamazepine</v>
      </c>
      <c r="M30" s="144">
        <v>10</v>
      </c>
      <c r="N30" s="144">
        <v>30</v>
      </c>
      <c r="O30" s="144">
        <f>AVERAGE(M30:N30)</f>
        <v>20</v>
      </c>
      <c r="P30" s="146">
        <f t="shared" si="0"/>
        <v>300</v>
      </c>
      <c r="Q30" s="146">
        <f t="shared" si="1"/>
        <v>30</v>
      </c>
    </row>
    <row r="31" spans="1:17" x14ac:dyDescent="0.15">
      <c r="A31" s="2" t="s">
        <v>282</v>
      </c>
      <c r="B31" s="5">
        <v>248.6</v>
      </c>
      <c r="C31" s="5">
        <f>1.48/62.15*B31</f>
        <v>5.92</v>
      </c>
      <c r="D31" s="12">
        <v>7</v>
      </c>
      <c r="E31" s="3" t="s">
        <v>75</v>
      </c>
      <c r="F31" s="13" t="s">
        <v>112</v>
      </c>
      <c r="G31" s="1" t="s">
        <v>24</v>
      </c>
      <c r="H31" s="1">
        <v>5</v>
      </c>
      <c r="I31" s="1">
        <v>2.5000000000000001E-4</v>
      </c>
      <c r="J31" s="23">
        <v>40</v>
      </c>
      <c r="L31" s="1" t="str">
        <f t="shared" si="3"/>
        <v>Carbamazepine</v>
      </c>
      <c r="M31" s="31">
        <f>O31</f>
        <v>5</v>
      </c>
      <c r="O31" s="31">
        <f>H31</f>
        <v>5</v>
      </c>
      <c r="P31" s="33">
        <f t="shared" si="0"/>
        <v>248.6</v>
      </c>
      <c r="Q31" s="33">
        <f t="shared" si="1"/>
        <v>5.92</v>
      </c>
    </row>
    <row r="32" spans="1:17" ht="16" customHeight="1" x14ac:dyDescent="0.15">
      <c r="A32" s="2" t="s">
        <v>282</v>
      </c>
      <c r="B32" s="5">
        <v>270</v>
      </c>
      <c r="C32" s="5"/>
      <c r="D32" s="12">
        <v>6</v>
      </c>
      <c r="E32" s="3">
        <v>23</v>
      </c>
      <c r="F32" s="13" t="s">
        <v>355</v>
      </c>
      <c r="G32" s="1" t="s">
        <v>133</v>
      </c>
      <c r="H32" s="1">
        <v>10</v>
      </c>
      <c r="I32" s="1">
        <v>6.0000000000000002E-5</v>
      </c>
      <c r="J32" s="23">
        <v>43</v>
      </c>
      <c r="L32" s="19" t="str">
        <f t="shared" si="3"/>
        <v>Carbamazepine</v>
      </c>
      <c r="M32" s="142">
        <f>O32</f>
        <v>10</v>
      </c>
      <c r="N32" s="19"/>
      <c r="O32" s="142">
        <f>H32</f>
        <v>10</v>
      </c>
      <c r="P32" s="143">
        <f t="shared" si="0"/>
        <v>270</v>
      </c>
      <c r="Q32" s="143">
        <f t="shared" si="1"/>
        <v>0</v>
      </c>
    </row>
    <row r="33" spans="1:27" x14ac:dyDescent="0.15">
      <c r="A33" s="2" t="s">
        <v>324</v>
      </c>
      <c r="B33" s="6">
        <v>1.36</v>
      </c>
      <c r="C33" s="6">
        <f>0.07/0.34*B33</f>
        <v>0.28000000000000003</v>
      </c>
      <c r="D33" s="12">
        <v>7</v>
      </c>
      <c r="E33" s="3" t="s">
        <v>75</v>
      </c>
      <c r="F33" s="13" t="s">
        <v>112</v>
      </c>
      <c r="G33" s="1" t="s">
        <v>24</v>
      </c>
      <c r="H33" s="1">
        <v>5</v>
      </c>
      <c r="I33" s="1">
        <v>2.5000000000000001E-4</v>
      </c>
      <c r="J33" s="23">
        <v>40</v>
      </c>
      <c r="L33" s="1" t="str">
        <f t="shared" si="3"/>
        <v>Ciprofloxacin</v>
      </c>
      <c r="M33" s="31">
        <f>O33</f>
        <v>5</v>
      </c>
      <c r="O33" s="31">
        <f>H33</f>
        <v>5</v>
      </c>
      <c r="P33" s="33">
        <f t="shared" si="0"/>
        <v>1.36</v>
      </c>
      <c r="Q33" s="33">
        <f t="shared" si="1"/>
        <v>0.28000000000000003</v>
      </c>
    </row>
    <row r="34" spans="1:27" x14ac:dyDescent="0.15">
      <c r="A34" s="2" t="s">
        <v>324</v>
      </c>
      <c r="B34" s="6">
        <v>0.61</v>
      </c>
      <c r="C34" s="6">
        <v>0.02</v>
      </c>
      <c r="D34" s="12">
        <v>7</v>
      </c>
      <c r="E34" s="3">
        <v>25</v>
      </c>
      <c r="F34" s="13" t="s">
        <v>283</v>
      </c>
      <c r="G34" s="1" t="s">
        <v>133</v>
      </c>
      <c r="H34" s="1" t="s">
        <v>351</v>
      </c>
      <c r="I34" s="1" t="s">
        <v>349</v>
      </c>
      <c r="J34" s="23">
        <v>42</v>
      </c>
      <c r="L34" s="1" t="str">
        <f t="shared" si="3"/>
        <v>Ciprofloxacin</v>
      </c>
      <c r="M34" s="1">
        <v>200</v>
      </c>
      <c r="N34" s="1">
        <v>600</v>
      </c>
      <c r="O34" s="1">
        <f>AVERAGE(M34:N34)</f>
        <v>400</v>
      </c>
      <c r="P34" s="33">
        <f t="shared" si="0"/>
        <v>0.61</v>
      </c>
      <c r="Q34" s="33">
        <f t="shared" si="1"/>
        <v>0.02</v>
      </c>
    </row>
    <row r="35" spans="1:27" x14ac:dyDescent="0.15">
      <c r="A35" s="2" t="s">
        <v>324</v>
      </c>
      <c r="B35" s="1">
        <f>AVERAGE(0.93,0.99)</f>
        <v>0.96</v>
      </c>
      <c r="C35" s="95">
        <f>STDEV(0.93,0.99)</f>
        <v>4.2426406871192812E-2</v>
      </c>
      <c r="D35" s="12" t="s">
        <v>705</v>
      </c>
      <c r="E35" s="3">
        <v>25</v>
      </c>
      <c r="F35" s="13" t="s">
        <v>706</v>
      </c>
      <c r="G35" s="1" t="s">
        <v>133</v>
      </c>
      <c r="H35" s="1">
        <v>10</v>
      </c>
      <c r="I35" s="1">
        <v>5.0000000000000002E-5</v>
      </c>
      <c r="J35" s="23">
        <v>88</v>
      </c>
      <c r="L35" s="19" t="str">
        <f t="shared" si="3"/>
        <v>Ciprofloxacin</v>
      </c>
      <c r="M35" s="142">
        <f>O35</f>
        <v>10</v>
      </c>
      <c r="N35" s="19"/>
      <c r="O35" s="142">
        <f>H35</f>
        <v>10</v>
      </c>
      <c r="P35" s="143">
        <f t="shared" ref="P35:P66" si="6">B35</f>
        <v>0.96</v>
      </c>
      <c r="Q35" s="143">
        <f t="shared" ref="Q35:Q66" si="7">C35</f>
        <v>4.2426406871192812E-2</v>
      </c>
      <c r="AA35" s="14"/>
    </row>
    <row r="36" spans="1:27" x14ac:dyDescent="0.15">
      <c r="A36" s="2" t="s">
        <v>609</v>
      </c>
      <c r="B36" s="6">
        <f>0.00092/0.001</f>
        <v>0.92</v>
      </c>
      <c r="C36" s="6">
        <f>0.5/9.2*B36</f>
        <v>5.000000000000001E-2</v>
      </c>
      <c r="D36" s="12">
        <v>7.1</v>
      </c>
      <c r="E36" s="3">
        <v>21</v>
      </c>
      <c r="F36" s="13" t="s">
        <v>666</v>
      </c>
      <c r="G36" s="1" t="s">
        <v>133</v>
      </c>
      <c r="H36" s="1" t="s">
        <v>165</v>
      </c>
      <c r="I36" s="1">
        <v>1E-3</v>
      </c>
      <c r="J36" s="23">
        <v>17</v>
      </c>
      <c r="L36" s="1" t="str">
        <f t="shared" si="3"/>
        <v>cis-Dichloroethene (cis-DCE)</v>
      </c>
      <c r="M36" s="31">
        <f>O36</f>
        <v>10</v>
      </c>
      <c r="O36" s="31">
        <v>10</v>
      </c>
      <c r="P36" s="33">
        <f t="shared" si="6"/>
        <v>0.92</v>
      </c>
      <c r="Q36" s="33">
        <f t="shared" si="7"/>
        <v>5.000000000000001E-2</v>
      </c>
    </row>
    <row r="37" spans="1:27" x14ac:dyDescent="0.15">
      <c r="A37" s="2" t="s">
        <v>609</v>
      </c>
      <c r="B37" s="6">
        <v>1.52</v>
      </c>
      <c r="C37" s="6">
        <v>0.05</v>
      </c>
      <c r="D37" s="12">
        <v>7</v>
      </c>
      <c r="E37" s="3">
        <v>20</v>
      </c>
      <c r="F37" s="13" t="s">
        <v>112</v>
      </c>
      <c r="G37" s="1" t="s">
        <v>133</v>
      </c>
      <c r="H37" s="1" t="s">
        <v>672</v>
      </c>
      <c r="I37" s="1" t="s">
        <v>671</v>
      </c>
      <c r="J37" s="23">
        <v>22</v>
      </c>
      <c r="L37" s="1" t="str">
        <f t="shared" si="3"/>
        <v>cis-Dichloroethene (cis-DCE)</v>
      </c>
      <c r="M37" s="1">
        <v>11.4</v>
      </c>
      <c r="N37" s="1">
        <v>22.8</v>
      </c>
      <c r="O37" s="1">
        <f>AVERAGE(M37:N37)</f>
        <v>17.100000000000001</v>
      </c>
      <c r="P37" s="33">
        <f t="shared" si="6"/>
        <v>1.52</v>
      </c>
      <c r="Q37" s="33">
        <f t="shared" si="7"/>
        <v>0.05</v>
      </c>
    </row>
    <row r="38" spans="1:27" x14ac:dyDescent="0.15">
      <c r="A38" s="2" t="s">
        <v>609</v>
      </c>
      <c r="B38" s="6">
        <f>0.00266/(0.37/158)</f>
        <v>1.1358918918918919</v>
      </c>
      <c r="C38" s="6"/>
      <c r="D38" s="12">
        <v>5.6</v>
      </c>
      <c r="E38" s="3">
        <v>23</v>
      </c>
      <c r="F38" s="13" t="s">
        <v>148</v>
      </c>
      <c r="G38" s="1" t="s">
        <v>133</v>
      </c>
      <c r="H38" s="1">
        <v>4.7</v>
      </c>
      <c r="I38" s="1">
        <v>2.3E-3</v>
      </c>
      <c r="J38" s="23">
        <v>24</v>
      </c>
      <c r="L38" s="1" t="str">
        <f t="shared" si="3"/>
        <v>cis-Dichloroethene (cis-DCE)</v>
      </c>
      <c r="M38" s="31">
        <f>O38</f>
        <v>4.7</v>
      </c>
      <c r="O38" s="31">
        <f>H38</f>
        <v>4.7</v>
      </c>
      <c r="P38" s="33">
        <f t="shared" si="6"/>
        <v>1.1358918918918919</v>
      </c>
      <c r="Q38" s="33">
        <f t="shared" si="7"/>
        <v>0</v>
      </c>
    </row>
    <row r="39" spans="1:27" x14ac:dyDescent="0.15">
      <c r="A39" s="2" t="s">
        <v>609</v>
      </c>
      <c r="B39" s="6">
        <v>0.71</v>
      </c>
      <c r="C39" s="6">
        <v>0.06</v>
      </c>
      <c r="D39" s="29">
        <v>7</v>
      </c>
      <c r="E39" s="5">
        <v>25</v>
      </c>
      <c r="F39" s="30" t="s">
        <v>112</v>
      </c>
      <c r="G39" s="1" t="s">
        <v>24</v>
      </c>
      <c r="H39" s="1" t="s">
        <v>228</v>
      </c>
      <c r="I39" s="3" t="s">
        <v>229</v>
      </c>
      <c r="J39" s="23">
        <v>31</v>
      </c>
      <c r="L39" s="19" t="str">
        <f t="shared" si="3"/>
        <v>cis-Dichloroethene (cis-DCE)</v>
      </c>
      <c r="M39" s="19">
        <v>10</v>
      </c>
      <c r="N39" s="19">
        <v>40</v>
      </c>
      <c r="O39" s="19">
        <f>AVERAGE(M39:N39)</f>
        <v>25</v>
      </c>
      <c r="P39" s="143">
        <f t="shared" si="6"/>
        <v>0.71</v>
      </c>
      <c r="Q39" s="143">
        <f t="shared" si="7"/>
        <v>0.06</v>
      </c>
    </row>
    <row r="40" spans="1:27" x14ac:dyDescent="0.15">
      <c r="A40" s="2" t="s">
        <v>270</v>
      </c>
      <c r="B40" s="6">
        <v>0.3</v>
      </c>
      <c r="C40" s="6"/>
      <c r="D40" s="12">
        <v>7</v>
      </c>
      <c r="E40" s="3">
        <v>20</v>
      </c>
      <c r="F40" s="13" t="s">
        <v>262</v>
      </c>
      <c r="G40" s="1" t="s">
        <v>133</v>
      </c>
      <c r="H40" s="1" t="s">
        <v>276</v>
      </c>
      <c r="I40" s="1" t="s">
        <v>275</v>
      </c>
      <c r="J40" s="23">
        <v>34</v>
      </c>
      <c r="L40" s="1" t="str">
        <f t="shared" si="3"/>
        <v>Cylindrospermopsin</v>
      </c>
      <c r="M40" s="1">
        <v>275</v>
      </c>
      <c r="N40" s="1">
        <v>1300</v>
      </c>
      <c r="O40" s="1">
        <f>AVERAGE(M40:N40)</f>
        <v>787.5</v>
      </c>
      <c r="P40" s="33">
        <f t="shared" si="6"/>
        <v>0.3</v>
      </c>
      <c r="Q40" s="33">
        <f t="shared" si="7"/>
        <v>0</v>
      </c>
    </row>
    <row r="41" spans="1:27" x14ac:dyDescent="0.15">
      <c r="A41" s="2" t="s">
        <v>270</v>
      </c>
      <c r="B41" s="6">
        <v>0.26</v>
      </c>
      <c r="C41" s="6">
        <v>0.05</v>
      </c>
      <c r="D41" s="12">
        <v>5.6</v>
      </c>
      <c r="E41" s="3">
        <v>23</v>
      </c>
      <c r="F41" s="13" t="s">
        <v>148</v>
      </c>
      <c r="G41" s="1" t="s">
        <v>133</v>
      </c>
      <c r="H41" s="1" t="s">
        <v>474</v>
      </c>
      <c r="I41" s="1" t="s">
        <v>472</v>
      </c>
      <c r="J41" s="23">
        <v>73</v>
      </c>
      <c r="L41" s="19" t="str">
        <f t="shared" si="3"/>
        <v>Cylindrospermopsin</v>
      </c>
      <c r="M41" s="19">
        <v>2900</v>
      </c>
      <c r="N41" s="19">
        <v>5700</v>
      </c>
      <c r="O41" s="19">
        <f>AVERAGE(M41:N41)</f>
        <v>4300</v>
      </c>
      <c r="P41" s="143">
        <f t="shared" si="6"/>
        <v>0.26</v>
      </c>
      <c r="Q41" s="143">
        <f t="shared" si="7"/>
        <v>0.05</v>
      </c>
    </row>
    <row r="42" spans="1:27" x14ac:dyDescent="0.15">
      <c r="A42" s="2" t="s">
        <v>319</v>
      </c>
      <c r="B42" s="6">
        <v>2.6</v>
      </c>
      <c r="C42" s="6">
        <f>0.03/0.65*B42</f>
        <v>0.12</v>
      </c>
      <c r="D42" s="12">
        <v>7</v>
      </c>
      <c r="E42" s="3" t="s">
        <v>75</v>
      </c>
      <c r="F42" s="13" t="s">
        <v>112</v>
      </c>
      <c r="G42" s="1" t="s">
        <v>24</v>
      </c>
      <c r="H42" s="1">
        <v>5</v>
      </c>
      <c r="I42" s="1">
        <v>2.5000000000000001E-4</v>
      </c>
      <c r="J42" s="23">
        <v>40</v>
      </c>
      <c r="L42" s="1" t="str">
        <f t="shared" si="3"/>
        <v>Diclofenac</v>
      </c>
      <c r="M42" s="31">
        <f>O42</f>
        <v>5</v>
      </c>
      <c r="O42" s="31">
        <f>H42</f>
        <v>5</v>
      </c>
      <c r="P42" s="33">
        <f t="shared" si="6"/>
        <v>2.6</v>
      </c>
      <c r="Q42" s="33">
        <f t="shared" si="7"/>
        <v>0.12</v>
      </c>
    </row>
    <row r="43" spans="1:27" x14ac:dyDescent="0.15">
      <c r="A43" s="2" t="s">
        <v>319</v>
      </c>
      <c r="B43" s="6">
        <f>10^AVERAGE(0.37,0.29,0.41)</f>
        <v>2.2733518989206303</v>
      </c>
      <c r="C43" s="6">
        <f>STDEV(0.37,0.29,0.41)/AVERAGE(0.37,0.29,0.41)*B43</f>
        <v>0.38945073488132459</v>
      </c>
      <c r="D43" s="12">
        <v>7</v>
      </c>
      <c r="E43" s="3">
        <v>20</v>
      </c>
      <c r="F43" s="13" t="s">
        <v>689</v>
      </c>
      <c r="G43" s="1" t="s">
        <v>133</v>
      </c>
      <c r="H43" s="31">
        <f>I43/(0.0002/318.1)</f>
        <v>11.073101265822785</v>
      </c>
      <c r="I43" s="37">
        <f>0.0011/158</f>
        <v>6.9620253164556965E-6</v>
      </c>
      <c r="J43" s="23">
        <v>51</v>
      </c>
      <c r="L43" s="1" t="str">
        <f t="shared" si="3"/>
        <v>Diclofenac</v>
      </c>
      <c r="M43" s="31">
        <f>O43</f>
        <v>11.073101265822785</v>
      </c>
      <c r="O43" s="31">
        <f>H43</f>
        <v>11.073101265822785</v>
      </c>
      <c r="P43" s="33">
        <f t="shared" si="6"/>
        <v>2.2733518989206303</v>
      </c>
      <c r="Q43" s="33">
        <f t="shared" si="7"/>
        <v>0.38945073488132459</v>
      </c>
    </row>
    <row r="44" spans="1:27" x14ac:dyDescent="0.15">
      <c r="A44" s="2" t="s">
        <v>319</v>
      </c>
      <c r="B44" s="6">
        <v>1.57</v>
      </c>
      <c r="C44" s="6">
        <v>0.02</v>
      </c>
      <c r="D44" s="12">
        <v>7</v>
      </c>
      <c r="E44" s="3">
        <v>20</v>
      </c>
      <c r="F44" s="13" t="s">
        <v>393</v>
      </c>
      <c r="G44" s="1" t="s">
        <v>133</v>
      </c>
      <c r="H44" s="1" t="s">
        <v>489</v>
      </c>
      <c r="I44" s="1" t="s">
        <v>419</v>
      </c>
      <c r="J44" s="23">
        <v>57</v>
      </c>
      <c r="L44" s="19" t="str">
        <f t="shared" ref="L44:L74" si="8">A44</f>
        <v>Diclofenac</v>
      </c>
      <c r="M44" s="19">
        <v>20</v>
      </c>
      <c r="N44" s="19">
        <v>50</v>
      </c>
      <c r="O44" s="19">
        <f>AVERAGE(M44:N44)</f>
        <v>35</v>
      </c>
      <c r="P44" s="143">
        <f t="shared" si="6"/>
        <v>1.57</v>
      </c>
      <c r="Q44" s="143">
        <f t="shared" si="7"/>
        <v>0.02</v>
      </c>
    </row>
    <row r="45" spans="1:27" x14ac:dyDescent="0.15">
      <c r="A45" s="2" t="s">
        <v>321</v>
      </c>
      <c r="B45" s="6">
        <v>2.04</v>
      </c>
      <c r="C45" s="6">
        <f>0.03/0.51*B45</f>
        <v>0.12</v>
      </c>
      <c r="D45" s="12">
        <v>7</v>
      </c>
      <c r="E45" s="3" t="s">
        <v>75</v>
      </c>
      <c r="F45" s="13" t="s">
        <v>112</v>
      </c>
      <c r="G45" s="1" t="s">
        <v>24</v>
      </c>
      <c r="H45" s="1">
        <v>5</v>
      </c>
      <c r="I45" s="1">
        <v>2.5000000000000001E-4</v>
      </c>
      <c r="J45" s="23">
        <v>40</v>
      </c>
      <c r="L45" s="1" t="str">
        <f t="shared" si="8"/>
        <v>Enrofloxacin</v>
      </c>
      <c r="M45" s="31">
        <f>O45</f>
        <v>5</v>
      </c>
      <c r="O45" s="31">
        <f>H45</f>
        <v>5</v>
      </c>
      <c r="P45" s="33">
        <f t="shared" si="6"/>
        <v>2.04</v>
      </c>
      <c r="Q45" s="33">
        <f t="shared" si="7"/>
        <v>0.12</v>
      </c>
    </row>
    <row r="46" spans="1:27" x14ac:dyDescent="0.15">
      <c r="A46" s="2" t="s">
        <v>321</v>
      </c>
      <c r="B46" s="6">
        <v>0.63</v>
      </c>
      <c r="C46" s="6">
        <v>0.3</v>
      </c>
      <c r="D46" s="12">
        <v>7</v>
      </c>
      <c r="E46" s="3">
        <v>21</v>
      </c>
      <c r="F46" s="13" t="s">
        <v>430</v>
      </c>
      <c r="G46" s="1" t="s">
        <v>133</v>
      </c>
      <c r="H46" s="1" t="s">
        <v>428</v>
      </c>
      <c r="I46" s="1" t="s">
        <v>429</v>
      </c>
      <c r="J46" s="23">
        <v>61</v>
      </c>
      <c r="L46" s="1" t="str">
        <f t="shared" si="8"/>
        <v>Enrofloxacin</v>
      </c>
      <c r="M46" s="1">
        <v>50</v>
      </c>
      <c r="N46" s="1">
        <v>130</v>
      </c>
      <c r="O46" s="1">
        <f>AVERAGE(M46:N46)</f>
        <v>90</v>
      </c>
      <c r="P46" s="33">
        <f t="shared" si="6"/>
        <v>0.63</v>
      </c>
      <c r="Q46" s="33">
        <f t="shared" si="7"/>
        <v>0.3</v>
      </c>
    </row>
    <row r="47" spans="1:27" x14ac:dyDescent="0.15">
      <c r="A47" s="2" t="s">
        <v>321</v>
      </c>
      <c r="B47" s="95">
        <f>AVERAGE(1.23,1.06)</f>
        <v>1.145</v>
      </c>
      <c r="C47" s="95">
        <f>STDEV(1.23,1.06)</f>
        <v>0.12020815280171303</v>
      </c>
      <c r="D47" s="12" t="s">
        <v>705</v>
      </c>
      <c r="E47" s="3">
        <v>25</v>
      </c>
      <c r="F47" s="13" t="s">
        <v>706</v>
      </c>
      <c r="G47" s="1" t="s">
        <v>133</v>
      </c>
      <c r="H47" s="1">
        <v>10</v>
      </c>
      <c r="I47" s="1">
        <v>5.0000000000000002E-5</v>
      </c>
      <c r="J47" s="23">
        <v>88</v>
      </c>
      <c r="L47" s="19" t="str">
        <f t="shared" si="8"/>
        <v>Enrofloxacin</v>
      </c>
      <c r="M47" s="142">
        <f>O47</f>
        <v>10</v>
      </c>
      <c r="N47" s="19"/>
      <c r="O47" s="142">
        <f>H47</f>
        <v>10</v>
      </c>
      <c r="P47" s="143">
        <f t="shared" si="6"/>
        <v>1.145</v>
      </c>
      <c r="Q47" s="143">
        <f t="shared" si="7"/>
        <v>0.12020815280171303</v>
      </c>
    </row>
    <row r="48" spans="1:27" x14ac:dyDescent="0.15">
      <c r="A48" s="2" t="s">
        <v>126</v>
      </c>
      <c r="B48" s="4">
        <v>3.8999999999999998E-3</v>
      </c>
      <c r="C48" s="7"/>
      <c r="D48" s="12">
        <v>7</v>
      </c>
      <c r="E48" s="3">
        <v>25</v>
      </c>
      <c r="F48" s="13" t="s">
        <v>127</v>
      </c>
      <c r="G48" s="1" t="s">
        <v>24</v>
      </c>
      <c r="H48" s="1">
        <v>14</v>
      </c>
      <c r="I48" s="1">
        <v>2.9299999999999999E-3</v>
      </c>
      <c r="J48" s="23">
        <v>14</v>
      </c>
      <c r="L48" s="1" t="str">
        <f t="shared" si="8"/>
        <v>Ethylbenzene</v>
      </c>
      <c r="M48" s="31">
        <f>O48</f>
        <v>14</v>
      </c>
      <c r="O48" s="31">
        <f>H48</f>
        <v>14</v>
      </c>
      <c r="P48" s="33">
        <f t="shared" si="6"/>
        <v>3.8999999999999998E-3</v>
      </c>
      <c r="Q48" s="33">
        <f t="shared" si="7"/>
        <v>0</v>
      </c>
    </row>
    <row r="49" spans="1:17" x14ac:dyDescent="0.15">
      <c r="A49" s="2" t="s">
        <v>126</v>
      </c>
      <c r="B49" s="7">
        <v>1.1299999999999999E-2</v>
      </c>
      <c r="C49" s="4">
        <f>0.0006</f>
        <v>5.9999999999999995E-4</v>
      </c>
      <c r="D49" s="12" t="s">
        <v>664</v>
      </c>
      <c r="E49" s="3">
        <v>30</v>
      </c>
      <c r="F49" s="13" t="s">
        <v>160</v>
      </c>
      <c r="G49" s="1" t="s">
        <v>133</v>
      </c>
      <c r="H49" s="1" t="s">
        <v>75</v>
      </c>
      <c r="I49" s="1" t="s">
        <v>75</v>
      </c>
      <c r="J49" s="23">
        <v>90</v>
      </c>
      <c r="L49" s="1" t="str">
        <f t="shared" si="8"/>
        <v>Ethylbenzene</v>
      </c>
      <c r="M49" s="31">
        <v>0</v>
      </c>
      <c r="O49" s="31" t="str">
        <f>H49</f>
        <v>?</v>
      </c>
      <c r="P49" s="33">
        <f t="shared" si="6"/>
        <v>1.1299999999999999E-2</v>
      </c>
      <c r="Q49" s="33">
        <f t="shared" si="7"/>
        <v>5.9999999999999995E-4</v>
      </c>
    </row>
    <row r="50" spans="1:17" x14ac:dyDescent="0.15">
      <c r="A50" s="2" t="s">
        <v>126</v>
      </c>
      <c r="B50" s="4">
        <v>6.0000000000000001E-3</v>
      </c>
      <c r="C50" s="4">
        <v>8.0000000000000004E-4</v>
      </c>
      <c r="D50" s="12">
        <v>5.6</v>
      </c>
      <c r="E50" s="3">
        <v>21</v>
      </c>
      <c r="F50" s="13" t="s">
        <v>148</v>
      </c>
      <c r="G50" s="1" t="s">
        <v>133</v>
      </c>
      <c r="H50" s="1" t="s">
        <v>587</v>
      </c>
      <c r="I50" s="1" t="s">
        <v>211</v>
      </c>
      <c r="J50" s="23">
        <v>28</v>
      </c>
      <c r="L50" s="19" t="str">
        <f t="shared" si="8"/>
        <v>Ethylbenzene</v>
      </c>
      <c r="M50" s="19">
        <v>940</v>
      </c>
      <c r="N50" s="19">
        <v>1948</v>
      </c>
      <c r="O50" s="19">
        <f>AVERAGE(M50:N50)</f>
        <v>1444</v>
      </c>
      <c r="P50" s="143">
        <f t="shared" si="6"/>
        <v>6.0000000000000001E-3</v>
      </c>
      <c r="Q50" s="143">
        <f t="shared" si="7"/>
        <v>8.0000000000000004E-4</v>
      </c>
    </row>
    <row r="51" spans="1:17" x14ac:dyDescent="0.15">
      <c r="A51" s="2" t="s">
        <v>569</v>
      </c>
      <c r="B51" s="4">
        <v>7.7000000000000002E-3</v>
      </c>
      <c r="C51" s="7"/>
      <c r="D51" s="12">
        <v>7</v>
      </c>
      <c r="E51" s="3">
        <v>25</v>
      </c>
      <c r="F51" s="13" t="s">
        <v>127</v>
      </c>
      <c r="G51" s="1" t="s">
        <v>24</v>
      </c>
      <c r="H51" s="1">
        <v>10</v>
      </c>
      <c r="I51" s="1">
        <v>1.15E-3</v>
      </c>
      <c r="J51" s="23">
        <v>14</v>
      </c>
      <c r="L51" s="1" t="str">
        <f t="shared" si="8"/>
        <v>Isopropylbenzene (Cumene)</v>
      </c>
      <c r="M51" s="31">
        <f>O51</f>
        <v>10</v>
      </c>
      <c r="O51" s="31">
        <f>H51</f>
        <v>10</v>
      </c>
      <c r="P51" s="33">
        <f t="shared" si="6"/>
        <v>7.7000000000000002E-3</v>
      </c>
      <c r="Q51" s="33">
        <f t="shared" si="7"/>
        <v>0</v>
      </c>
    </row>
    <row r="52" spans="1:17" x14ac:dyDescent="0.15">
      <c r="A52" s="2" t="s">
        <v>569</v>
      </c>
      <c r="B52" s="7">
        <v>1.23E-2</v>
      </c>
      <c r="C52" s="4">
        <f>0.0005</f>
        <v>5.0000000000000001E-4</v>
      </c>
      <c r="D52" s="12" t="s">
        <v>664</v>
      </c>
      <c r="E52" s="3">
        <v>30</v>
      </c>
      <c r="F52" s="13" t="s">
        <v>160</v>
      </c>
      <c r="G52" s="1" t="s">
        <v>133</v>
      </c>
      <c r="H52" s="1" t="s">
        <v>75</v>
      </c>
      <c r="I52" s="1" t="s">
        <v>75</v>
      </c>
      <c r="J52" s="23">
        <v>90</v>
      </c>
      <c r="L52" s="1" t="str">
        <f t="shared" si="8"/>
        <v>Isopropylbenzene (Cumene)</v>
      </c>
      <c r="M52" s="31">
        <v>0</v>
      </c>
      <c r="O52" s="31" t="str">
        <f>H52</f>
        <v>?</v>
      </c>
      <c r="P52" s="33">
        <f t="shared" si="6"/>
        <v>1.23E-2</v>
      </c>
      <c r="Q52" s="33">
        <f t="shared" si="7"/>
        <v>5.0000000000000001E-4</v>
      </c>
    </row>
    <row r="53" spans="1:17" x14ac:dyDescent="0.15">
      <c r="A53" s="2" t="s">
        <v>569</v>
      </c>
      <c r="B53" s="4">
        <v>6.1999999999999998E-3</v>
      </c>
      <c r="C53" s="4">
        <v>2E-3</v>
      </c>
      <c r="D53" s="12">
        <v>5.6</v>
      </c>
      <c r="E53" s="3">
        <v>21</v>
      </c>
      <c r="F53" s="13" t="s">
        <v>148</v>
      </c>
      <c r="G53" s="1" t="s">
        <v>133</v>
      </c>
      <c r="H53" s="1" t="s">
        <v>588</v>
      </c>
      <c r="I53" s="1" t="s">
        <v>211</v>
      </c>
      <c r="J53" s="23">
        <v>28</v>
      </c>
      <c r="L53" s="19" t="str">
        <f t="shared" si="8"/>
        <v>Isopropylbenzene (Cumene)</v>
      </c>
      <c r="M53" s="19">
        <v>981</v>
      </c>
      <c r="N53" s="19">
        <v>2033</v>
      </c>
      <c r="O53" s="19">
        <f>AVERAGE(M53:N53)</f>
        <v>1507</v>
      </c>
      <c r="P53" s="143">
        <f t="shared" si="6"/>
        <v>6.1999999999999998E-3</v>
      </c>
      <c r="Q53" s="143">
        <f t="shared" si="7"/>
        <v>2E-3</v>
      </c>
    </row>
    <row r="54" spans="1:17" x14ac:dyDescent="0.15">
      <c r="A54" s="2" t="s">
        <v>15</v>
      </c>
      <c r="B54" s="8">
        <f>0.027/60/(0.002/158)</f>
        <v>35.549999999999997</v>
      </c>
      <c r="C54" s="8"/>
      <c r="D54" s="12">
        <v>7.2</v>
      </c>
      <c r="E54" s="3">
        <v>16</v>
      </c>
      <c r="F54" s="13" t="s">
        <v>178</v>
      </c>
      <c r="G54" s="1" t="s">
        <v>133</v>
      </c>
      <c r="H54" s="31">
        <f>13/(100/94)</f>
        <v>12.22</v>
      </c>
      <c r="I54" s="1">
        <v>1.2999999999999999E-5</v>
      </c>
      <c r="J54" s="23">
        <v>25</v>
      </c>
      <c r="L54" s="1" t="str">
        <f t="shared" si="8"/>
        <v>Phenol</v>
      </c>
      <c r="M54" s="31">
        <f>O54</f>
        <v>12.22</v>
      </c>
      <c r="O54" s="31">
        <f t="shared" ref="O54:O59" si="9">H54</f>
        <v>12.22</v>
      </c>
      <c r="P54" s="33">
        <f t="shared" si="6"/>
        <v>35.549999999999997</v>
      </c>
      <c r="Q54" s="33">
        <f t="shared" si="7"/>
        <v>0</v>
      </c>
    </row>
    <row r="55" spans="1:17" x14ac:dyDescent="0.15">
      <c r="A55" s="2" t="s">
        <v>15</v>
      </c>
      <c r="B55" s="6">
        <v>4.4000000000000004</v>
      </c>
      <c r="C55" s="6"/>
      <c r="D55" s="12">
        <v>7</v>
      </c>
      <c r="E55" s="3">
        <v>19</v>
      </c>
      <c r="F55" s="13" t="s">
        <v>346</v>
      </c>
      <c r="G55" s="1" t="s">
        <v>133</v>
      </c>
      <c r="H55" s="1">
        <v>5</v>
      </c>
      <c r="I55" s="1">
        <v>5.0000000000000002E-5</v>
      </c>
      <c r="J55" s="23">
        <v>35</v>
      </c>
      <c r="L55" s="1" t="str">
        <f t="shared" si="8"/>
        <v>Phenol</v>
      </c>
      <c r="M55" s="31">
        <f>O55</f>
        <v>5</v>
      </c>
      <c r="O55" s="31">
        <f t="shared" si="9"/>
        <v>5</v>
      </c>
      <c r="P55" s="33">
        <f t="shared" si="6"/>
        <v>4.4000000000000004</v>
      </c>
      <c r="Q55" s="33">
        <f t="shared" si="7"/>
        <v>0</v>
      </c>
    </row>
    <row r="56" spans="1:17" x14ac:dyDescent="0.15">
      <c r="A56" s="2" t="s">
        <v>15</v>
      </c>
      <c r="B56" s="6">
        <v>6.14</v>
      </c>
      <c r="C56" s="6">
        <f>0.05*B56</f>
        <v>0.307</v>
      </c>
      <c r="D56" s="12">
        <v>7</v>
      </c>
      <c r="E56" s="3">
        <v>23</v>
      </c>
      <c r="F56" s="13" t="s">
        <v>289</v>
      </c>
      <c r="G56" s="1" t="s">
        <v>133</v>
      </c>
      <c r="H56" s="1" t="s">
        <v>75</v>
      </c>
      <c r="I56" s="1" t="s">
        <v>75</v>
      </c>
      <c r="J56" s="23">
        <v>37</v>
      </c>
      <c r="L56" s="1" t="str">
        <f t="shared" si="8"/>
        <v>Phenol</v>
      </c>
      <c r="M56" s="31">
        <v>0</v>
      </c>
      <c r="O56" s="31" t="str">
        <f t="shared" si="9"/>
        <v>?</v>
      </c>
      <c r="P56" s="33">
        <f t="shared" si="6"/>
        <v>6.14</v>
      </c>
      <c r="Q56" s="33">
        <f t="shared" si="7"/>
        <v>0.307</v>
      </c>
    </row>
    <row r="57" spans="1:17" x14ac:dyDescent="0.15">
      <c r="A57" s="2" t="s">
        <v>15</v>
      </c>
      <c r="B57" s="6">
        <v>4.5999999999999996</v>
      </c>
      <c r="C57" s="6"/>
      <c r="D57" s="12">
        <v>7</v>
      </c>
      <c r="E57" s="3">
        <v>19</v>
      </c>
      <c r="F57" s="13" t="s">
        <v>346</v>
      </c>
      <c r="G57" s="1" t="s">
        <v>133</v>
      </c>
      <c r="H57" s="1">
        <v>5</v>
      </c>
      <c r="I57" s="1">
        <v>5.0000000000000002E-5</v>
      </c>
      <c r="J57" s="23">
        <v>41</v>
      </c>
      <c r="L57" s="1" t="str">
        <f t="shared" si="8"/>
        <v>Phenol</v>
      </c>
      <c r="M57" s="31">
        <f>O57</f>
        <v>5</v>
      </c>
      <c r="O57" s="31">
        <f t="shared" si="9"/>
        <v>5</v>
      </c>
      <c r="P57" s="33">
        <f t="shared" si="6"/>
        <v>4.5999999999999996</v>
      </c>
      <c r="Q57" s="33">
        <f t="shared" si="7"/>
        <v>0</v>
      </c>
    </row>
    <row r="58" spans="1:17" x14ac:dyDescent="0.15">
      <c r="A58" s="2" t="s">
        <v>15</v>
      </c>
      <c r="B58" s="6">
        <v>6.67</v>
      </c>
      <c r="C58" s="6"/>
      <c r="D58" s="12">
        <v>7</v>
      </c>
      <c r="E58" s="3">
        <v>25</v>
      </c>
      <c r="F58" s="13" t="s">
        <v>368</v>
      </c>
      <c r="G58" s="1" t="s">
        <v>133</v>
      </c>
      <c r="H58" s="1">
        <v>10</v>
      </c>
      <c r="I58" s="1">
        <v>5.0000000000000002E-5</v>
      </c>
      <c r="J58" s="23">
        <v>47</v>
      </c>
      <c r="L58" s="1" t="str">
        <f t="shared" si="8"/>
        <v>Phenol</v>
      </c>
      <c r="M58" s="31">
        <f>O58</f>
        <v>10</v>
      </c>
      <c r="O58" s="31">
        <f t="shared" si="9"/>
        <v>10</v>
      </c>
      <c r="P58" s="33">
        <f t="shared" si="6"/>
        <v>6.67</v>
      </c>
      <c r="Q58" s="33">
        <f t="shared" si="7"/>
        <v>0</v>
      </c>
    </row>
    <row r="59" spans="1:17" x14ac:dyDescent="0.15">
      <c r="A59" s="2" t="s">
        <v>15</v>
      </c>
      <c r="B59" s="8">
        <v>21.7</v>
      </c>
      <c r="C59" s="6"/>
      <c r="D59" s="12">
        <v>7.5</v>
      </c>
      <c r="E59" s="3">
        <v>25</v>
      </c>
      <c r="F59" s="13" t="s">
        <v>401</v>
      </c>
      <c r="G59" s="1" t="s">
        <v>133</v>
      </c>
      <c r="H59" s="1">
        <v>18.100000000000001</v>
      </c>
      <c r="I59" s="1">
        <v>1.8100000000000001E-4</v>
      </c>
      <c r="J59" s="23">
        <v>53</v>
      </c>
      <c r="L59" s="1" t="str">
        <f t="shared" si="8"/>
        <v>Phenol</v>
      </c>
      <c r="M59" s="31">
        <f>O59</f>
        <v>18.100000000000001</v>
      </c>
      <c r="O59" s="31">
        <f t="shared" si="9"/>
        <v>18.100000000000001</v>
      </c>
      <c r="P59" s="33">
        <f t="shared" si="6"/>
        <v>21.7</v>
      </c>
      <c r="Q59" s="33">
        <f t="shared" si="7"/>
        <v>0</v>
      </c>
    </row>
    <row r="60" spans="1:17" x14ac:dyDescent="0.15">
      <c r="A60" s="2" t="s">
        <v>15</v>
      </c>
      <c r="B60" s="6">
        <v>5.5</v>
      </c>
      <c r="C60" s="6">
        <v>0.2</v>
      </c>
      <c r="D60" s="12">
        <v>7</v>
      </c>
      <c r="E60" s="3">
        <v>25</v>
      </c>
      <c r="F60" s="13" t="s">
        <v>452</v>
      </c>
      <c r="G60" s="1" t="s">
        <v>133</v>
      </c>
      <c r="H60" s="1" t="s">
        <v>456</v>
      </c>
      <c r="I60" s="1" t="s">
        <v>453</v>
      </c>
      <c r="J60" s="23">
        <v>67</v>
      </c>
      <c r="L60" s="1" t="str">
        <f t="shared" si="8"/>
        <v>Phenol</v>
      </c>
      <c r="M60" s="1">
        <v>5</v>
      </c>
      <c r="N60" s="1">
        <v>30</v>
      </c>
      <c r="O60" s="1">
        <f>AVERAGE(M60:N60)</f>
        <v>17.5</v>
      </c>
      <c r="P60" s="33">
        <f t="shared" si="6"/>
        <v>5.5</v>
      </c>
      <c r="Q60" s="33">
        <f t="shared" si="7"/>
        <v>0.2</v>
      </c>
    </row>
    <row r="61" spans="1:17" x14ac:dyDescent="0.15">
      <c r="A61" s="2" t="s">
        <v>15</v>
      </c>
      <c r="B61" s="6">
        <v>1.7</v>
      </c>
      <c r="C61" s="6">
        <v>0.2</v>
      </c>
      <c r="D61" s="12">
        <v>5.6</v>
      </c>
      <c r="E61" s="3">
        <v>23</v>
      </c>
      <c r="F61" s="13" t="s">
        <v>148</v>
      </c>
      <c r="G61" s="1" t="s">
        <v>24</v>
      </c>
      <c r="H61" s="1" t="s">
        <v>482</v>
      </c>
      <c r="I61" s="1" t="s">
        <v>453</v>
      </c>
      <c r="J61" s="23">
        <v>74</v>
      </c>
      <c r="L61" s="1" t="str">
        <f t="shared" si="8"/>
        <v>Phenol</v>
      </c>
      <c r="M61" s="1">
        <v>10</v>
      </c>
      <c r="N61" s="1">
        <v>50</v>
      </c>
      <c r="O61" s="1">
        <f>AVERAGE(M61:N61)</f>
        <v>30</v>
      </c>
      <c r="P61" s="33">
        <f t="shared" si="6"/>
        <v>1.7</v>
      </c>
      <c r="Q61" s="33">
        <f t="shared" si="7"/>
        <v>0.2</v>
      </c>
    </row>
    <row r="62" spans="1:17" x14ac:dyDescent="0.15">
      <c r="A62" s="2" t="s">
        <v>15</v>
      </c>
      <c r="B62" s="6">
        <v>1.6</v>
      </c>
      <c r="C62" s="6">
        <v>0.2</v>
      </c>
      <c r="D62" s="12">
        <v>5.6</v>
      </c>
      <c r="E62" s="3">
        <v>23</v>
      </c>
      <c r="F62" s="13" t="s">
        <v>148</v>
      </c>
      <c r="G62" s="1" t="s">
        <v>133</v>
      </c>
      <c r="H62" s="1" t="s">
        <v>697</v>
      </c>
      <c r="I62" s="1" t="s">
        <v>475</v>
      </c>
      <c r="J62" s="23">
        <v>74</v>
      </c>
      <c r="L62" s="1" t="str">
        <f t="shared" si="8"/>
        <v>Phenol</v>
      </c>
      <c r="M62" s="1">
        <v>33</v>
      </c>
      <c r="N62" s="1">
        <v>133</v>
      </c>
      <c r="O62" s="1">
        <f>AVERAGE(M62:N62)</f>
        <v>83</v>
      </c>
      <c r="P62" s="33">
        <f t="shared" si="6"/>
        <v>1.6</v>
      </c>
      <c r="Q62" s="33">
        <f t="shared" si="7"/>
        <v>0.2</v>
      </c>
    </row>
    <row r="63" spans="1:17" x14ac:dyDescent="0.15">
      <c r="A63" s="2" t="s">
        <v>15</v>
      </c>
      <c r="B63" s="3">
        <v>1.39</v>
      </c>
      <c r="C63" s="3">
        <v>0.42</v>
      </c>
      <c r="D63" s="12">
        <v>5.3</v>
      </c>
      <c r="E63" s="5">
        <v>23</v>
      </c>
      <c r="F63" s="13" t="s">
        <v>148</v>
      </c>
      <c r="G63" s="1" t="s">
        <v>24</v>
      </c>
      <c r="H63" s="1" t="s">
        <v>564</v>
      </c>
      <c r="I63" s="1" t="s">
        <v>559</v>
      </c>
      <c r="J63" s="23">
        <v>83</v>
      </c>
      <c r="L63" s="19" t="str">
        <f t="shared" si="8"/>
        <v>Phenol</v>
      </c>
      <c r="M63" s="19">
        <v>38</v>
      </c>
      <c r="N63" s="19">
        <v>75</v>
      </c>
      <c r="O63" s="19">
        <f>AVERAGE(M63:N63)</f>
        <v>56.5</v>
      </c>
      <c r="P63" s="143">
        <f t="shared" si="6"/>
        <v>1.39</v>
      </c>
      <c r="Q63" s="143">
        <f t="shared" si="7"/>
        <v>0.42</v>
      </c>
    </row>
    <row r="64" spans="1:17" x14ac:dyDescent="0.15">
      <c r="A64" s="2" t="s">
        <v>608</v>
      </c>
      <c r="B64" s="4">
        <v>8.3999999999999995E-3</v>
      </c>
      <c r="C64" s="4"/>
      <c r="D64" s="12">
        <v>8</v>
      </c>
      <c r="E64" s="3">
        <v>22</v>
      </c>
      <c r="F64" s="13" t="s">
        <v>135</v>
      </c>
      <c r="G64" s="1" t="s">
        <v>133</v>
      </c>
      <c r="H64" s="1" t="s">
        <v>660</v>
      </c>
      <c r="I64" s="1" t="s">
        <v>134</v>
      </c>
      <c r="J64" s="23">
        <v>15</v>
      </c>
      <c r="L64" s="1" t="str">
        <f t="shared" si="8"/>
        <v>Tetrachloroethene (PCE)</v>
      </c>
      <c r="M64" s="1">
        <v>9.67</v>
      </c>
      <c r="N64" s="1">
        <v>96.7</v>
      </c>
      <c r="O64" s="1">
        <f>AVERAGE(M64:N64)</f>
        <v>53.185000000000002</v>
      </c>
      <c r="P64" s="33">
        <f t="shared" si="6"/>
        <v>8.3999999999999995E-3</v>
      </c>
      <c r="Q64" s="33">
        <f t="shared" si="7"/>
        <v>0</v>
      </c>
    </row>
    <row r="65" spans="1:17" x14ac:dyDescent="0.15">
      <c r="A65" s="2" t="s">
        <v>608</v>
      </c>
      <c r="B65" s="7">
        <f>0.000045/0.001</f>
        <v>4.5000000000000005E-2</v>
      </c>
      <c r="C65" s="7">
        <f>0.03/0.45*B65</f>
        <v>3.0000000000000005E-3</v>
      </c>
      <c r="D65" s="12">
        <v>7.1</v>
      </c>
      <c r="E65" s="3">
        <v>21</v>
      </c>
      <c r="F65" s="13" t="s">
        <v>666</v>
      </c>
      <c r="G65" s="1" t="s">
        <v>133</v>
      </c>
      <c r="H65" s="1" t="s">
        <v>165</v>
      </c>
      <c r="I65" s="1">
        <v>1E-3</v>
      </c>
      <c r="J65" s="23">
        <v>17</v>
      </c>
      <c r="L65" s="1" t="str">
        <f t="shared" si="8"/>
        <v>Tetrachloroethene (PCE)</v>
      </c>
      <c r="M65" s="31">
        <f>O65</f>
        <v>10</v>
      </c>
      <c r="O65" s="31">
        <v>10</v>
      </c>
      <c r="P65" s="33">
        <f t="shared" si="6"/>
        <v>4.5000000000000005E-2</v>
      </c>
      <c r="Q65" s="33">
        <f t="shared" si="7"/>
        <v>3.0000000000000005E-3</v>
      </c>
    </row>
    <row r="66" spans="1:17" x14ac:dyDescent="0.15">
      <c r="A66" s="2" t="s">
        <v>608</v>
      </c>
      <c r="B66" s="7">
        <f>2.45/60</f>
        <v>4.083333333333334E-2</v>
      </c>
      <c r="C66" s="7">
        <f>0.65/2.45*B66</f>
        <v>1.0833333333333335E-2</v>
      </c>
      <c r="D66" s="12">
        <v>5.6</v>
      </c>
      <c r="E66" s="3">
        <v>21</v>
      </c>
      <c r="F66" s="13" t="s">
        <v>148</v>
      </c>
      <c r="G66" s="1" t="s">
        <v>133</v>
      </c>
      <c r="H66" s="1" t="s">
        <v>150</v>
      </c>
      <c r="I66" s="1" t="s">
        <v>149</v>
      </c>
      <c r="J66" s="23">
        <v>18</v>
      </c>
      <c r="L66" s="1" t="str">
        <f t="shared" si="8"/>
        <v>Tetrachloroethene (PCE)</v>
      </c>
      <c r="M66" s="1">
        <v>50</v>
      </c>
      <c r="N66" s="1">
        <v>650</v>
      </c>
      <c r="O66" s="1">
        <f>AVERAGE(M66:N66)</f>
        <v>350</v>
      </c>
      <c r="P66" s="33">
        <f t="shared" si="6"/>
        <v>4.083333333333334E-2</v>
      </c>
      <c r="Q66" s="33">
        <f t="shared" si="7"/>
        <v>1.0833333333333335E-2</v>
      </c>
    </row>
    <row r="67" spans="1:17" x14ac:dyDescent="0.15">
      <c r="A67" s="2" t="s">
        <v>608</v>
      </c>
      <c r="B67" s="7">
        <v>3.5000000000000003E-2</v>
      </c>
      <c r="C67" s="7">
        <v>4.0000000000000001E-3</v>
      </c>
      <c r="D67" s="12">
        <v>7</v>
      </c>
      <c r="E67" s="3">
        <v>20</v>
      </c>
      <c r="F67" s="13" t="s">
        <v>112</v>
      </c>
      <c r="G67" s="1" t="s">
        <v>133</v>
      </c>
      <c r="H67" s="1" t="s">
        <v>669</v>
      </c>
      <c r="I67" s="1" t="s">
        <v>601</v>
      </c>
      <c r="J67" s="23">
        <v>22</v>
      </c>
      <c r="L67" s="1" t="str">
        <f t="shared" si="8"/>
        <v>Tetrachloroethene (PCE)</v>
      </c>
      <c r="M67" s="1">
        <v>12.3</v>
      </c>
      <c r="N67" s="1">
        <v>48.5</v>
      </c>
      <c r="O67" s="1">
        <f>AVERAGE(M67:N67)</f>
        <v>30.4</v>
      </c>
      <c r="P67" s="33">
        <f t="shared" ref="P67:P97" si="10">B67</f>
        <v>3.5000000000000003E-2</v>
      </c>
      <c r="Q67" s="33">
        <f t="shared" ref="Q67:Q97" si="11">C67</f>
        <v>4.0000000000000001E-3</v>
      </c>
    </row>
    <row r="68" spans="1:17" x14ac:dyDescent="0.15">
      <c r="A68" s="2" t="s">
        <v>608</v>
      </c>
      <c r="B68" s="7">
        <f>AVERAGE(0.00028/(1.46/158),0.00013/(0.45/158))</f>
        <v>3.7972907153729064E-2</v>
      </c>
      <c r="C68" s="7">
        <f>STDEV(0.00028/(1.46/158),0.00013/(0.45/158))</f>
        <v>1.0849192080780643E-2</v>
      </c>
      <c r="D68" s="12">
        <v>5.6</v>
      </c>
      <c r="E68" s="3">
        <v>23</v>
      </c>
      <c r="F68" s="13" t="s">
        <v>148</v>
      </c>
      <c r="G68" s="1" t="s">
        <v>133</v>
      </c>
      <c r="H68" s="1" t="s">
        <v>676</v>
      </c>
      <c r="I68" s="1" t="s">
        <v>175</v>
      </c>
      <c r="J68" s="23">
        <v>24</v>
      </c>
      <c r="L68" s="1" t="str">
        <f t="shared" si="8"/>
        <v>Tetrachloroethene (PCE)</v>
      </c>
      <c r="M68" s="1">
        <v>9.3000000000000007</v>
      </c>
      <c r="N68" s="1">
        <v>30</v>
      </c>
      <c r="O68" s="1">
        <f>AVERAGE(M68:N68)</f>
        <v>19.649999999999999</v>
      </c>
      <c r="P68" s="33">
        <f t="shared" si="10"/>
        <v>3.7972907153729064E-2</v>
      </c>
      <c r="Q68" s="33">
        <f t="shared" si="11"/>
        <v>1.0849192080780643E-2</v>
      </c>
    </row>
    <row r="69" spans="1:17" x14ac:dyDescent="0.15">
      <c r="A69" s="38" t="s">
        <v>608</v>
      </c>
      <c r="B69" s="7">
        <f>AVERAGE(0.0458,0.0411)</f>
        <v>4.3450000000000003E-2</v>
      </c>
      <c r="C69" s="7">
        <f>STDEV(0.0458,0.0411)</f>
        <v>3.3234018715767753E-3</v>
      </c>
      <c r="D69" s="29">
        <v>7</v>
      </c>
      <c r="E69" s="5">
        <v>25</v>
      </c>
      <c r="F69" s="30" t="s">
        <v>112</v>
      </c>
      <c r="G69" s="1" t="s">
        <v>24</v>
      </c>
      <c r="H69" s="1">
        <v>10</v>
      </c>
      <c r="I69" s="7">
        <v>1E-3</v>
      </c>
      <c r="J69" s="23">
        <v>31</v>
      </c>
      <c r="L69" s="1" t="str">
        <f t="shared" si="8"/>
        <v>Tetrachloroethene (PCE)</v>
      </c>
      <c r="M69" s="31">
        <f>O69</f>
        <v>10</v>
      </c>
      <c r="O69" s="31">
        <f>H69</f>
        <v>10</v>
      </c>
      <c r="P69" s="33">
        <f t="shared" si="10"/>
        <v>4.3450000000000003E-2</v>
      </c>
      <c r="Q69" s="33">
        <f t="shared" si="11"/>
        <v>3.3234018715767753E-3</v>
      </c>
    </row>
    <row r="70" spans="1:17" x14ac:dyDescent="0.15">
      <c r="A70" s="2" t="s">
        <v>608</v>
      </c>
      <c r="B70" s="98">
        <v>1.7000000000000001E-2</v>
      </c>
      <c r="C70" s="1">
        <v>2E-3</v>
      </c>
      <c r="D70" s="12">
        <v>10.6</v>
      </c>
      <c r="E70" s="3">
        <v>20</v>
      </c>
      <c r="F70" s="13" t="s">
        <v>704</v>
      </c>
      <c r="G70" s="1" t="s">
        <v>133</v>
      </c>
      <c r="H70" s="1" t="s">
        <v>703</v>
      </c>
      <c r="I70" s="1" t="s">
        <v>702</v>
      </c>
      <c r="J70" s="23">
        <v>86</v>
      </c>
      <c r="L70" s="19" t="str">
        <f t="shared" si="8"/>
        <v>Tetrachloroethene (PCE)</v>
      </c>
      <c r="M70" s="19">
        <v>215</v>
      </c>
      <c r="N70" s="19">
        <v>5306</v>
      </c>
      <c r="O70" s="1">
        <f>AVERAGE(M70:N70)</f>
        <v>2760.5</v>
      </c>
      <c r="P70" s="143">
        <f t="shared" si="10"/>
        <v>1.7000000000000001E-2</v>
      </c>
      <c r="Q70" s="143">
        <f t="shared" si="11"/>
        <v>2E-3</v>
      </c>
    </row>
    <row r="71" spans="1:17" x14ac:dyDescent="0.15">
      <c r="A71" s="2" t="s">
        <v>122</v>
      </c>
      <c r="B71" s="4">
        <f>0.0007</f>
        <v>6.9999999999999999E-4</v>
      </c>
      <c r="C71" s="4"/>
      <c r="D71" s="39" t="s">
        <v>123</v>
      </c>
      <c r="E71" s="3">
        <v>20</v>
      </c>
      <c r="F71" s="13" t="s">
        <v>659</v>
      </c>
      <c r="G71" s="1" t="s">
        <v>24</v>
      </c>
      <c r="H71" s="1">
        <v>18</v>
      </c>
      <c r="I71" s="1">
        <v>6.8999999999999999E-3</v>
      </c>
      <c r="J71" s="23">
        <v>13</v>
      </c>
      <c r="L71" s="1" t="str">
        <f t="shared" si="8"/>
        <v>Toluene</v>
      </c>
      <c r="M71" s="31">
        <f>O71</f>
        <v>18</v>
      </c>
      <c r="O71" s="31">
        <f>H71</f>
        <v>18</v>
      </c>
      <c r="P71" s="33">
        <f t="shared" si="10"/>
        <v>6.9999999999999999E-4</v>
      </c>
      <c r="Q71" s="33">
        <f t="shared" si="11"/>
        <v>0</v>
      </c>
    </row>
    <row r="72" spans="1:17" x14ac:dyDescent="0.15">
      <c r="A72" s="2" t="s">
        <v>122</v>
      </c>
      <c r="B72" s="4">
        <v>1.7000000000000001E-4</v>
      </c>
      <c r="C72" s="4"/>
      <c r="D72" s="12">
        <v>7</v>
      </c>
      <c r="E72" s="3">
        <v>25</v>
      </c>
      <c r="F72" s="13" t="s">
        <v>127</v>
      </c>
      <c r="G72" s="1" t="s">
        <v>24</v>
      </c>
      <c r="H72" s="1">
        <v>10</v>
      </c>
      <c r="I72" s="1">
        <v>4.1099999999999999E-3</v>
      </c>
      <c r="J72" s="23">
        <v>14</v>
      </c>
      <c r="L72" s="1" t="str">
        <f t="shared" si="8"/>
        <v>Toluene</v>
      </c>
      <c r="M72" s="31">
        <f>O72</f>
        <v>10</v>
      </c>
      <c r="O72" s="31">
        <f>H72</f>
        <v>10</v>
      </c>
      <c r="P72" s="33">
        <f t="shared" si="10"/>
        <v>1.7000000000000001E-4</v>
      </c>
      <c r="Q72" s="33">
        <f t="shared" si="11"/>
        <v>0</v>
      </c>
    </row>
    <row r="73" spans="1:17" x14ac:dyDescent="0.15">
      <c r="A73" s="2" t="s">
        <v>122</v>
      </c>
      <c r="B73" s="4">
        <f>0.00023</f>
        <v>2.3000000000000001E-4</v>
      </c>
      <c r="C73" s="4">
        <v>1.0000000000000001E-5</v>
      </c>
      <c r="D73" s="12" t="s">
        <v>664</v>
      </c>
      <c r="E73" s="3">
        <v>20</v>
      </c>
      <c r="F73" s="13" t="s">
        <v>160</v>
      </c>
      <c r="G73" s="1" t="s">
        <v>133</v>
      </c>
      <c r="H73" s="1" t="s">
        <v>75</v>
      </c>
      <c r="I73" s="1" t="s">
        <v>75</v>
      </c>
      <c r="J73" s="23">
        <v>90</v>
      </c>
      <c r="L73" s="1" t="str">
        <f t="shared" si="8"/>
        <v>Toluene</v>
      </c>
      <c r="M73" s="31" t="str">
        <f>O73</f>
        <v>?</v>
      </c>
      <c r="O73" s="31" t="str">
        <f>H73</f>
        <v>?</v>
      </c>
      <c r="P73" s="33">
        <f t="shared" si="10"/>
        <v>2.3000000000000001E-4</v>
      </c>
      <c r="Q73" s="33">
        <f t="shared" si="11"/>
        <v>1.0000000000000001E-5</v>
      </c>
    </row>
    <row r="74" spans="1:17" x14ac:dyDescent="0.15">
      <c r="A74" s="2" t="s">
        <v>122</v>
      </c>
      <c r="B74" s="4">
        <v>5.2999999999999998E-4</v>
      </c>
      <c r="C74" s="4">
        <v>5.0000000000000001E-4</v>
      </c>
      <c r="D74" s="12">
        <v>5.6</v>
      </c>
      <c r="E74" s="3">
        <v>21</v>
      </c>
      <c r="F74" s="13" t="s">
        <v>148</v>
      </c>
      <c r="G74" s="1" t="s">
        <v>133</v>
      </c>
      <c r="H74" s="1" t="s">
        <v>586</v>
      </c>
      <c r="I74" s="1" t="s">
        <v>211</v>
      </c>
      <c r="J74" s="23">
        <v>28</v>
      </c>
      <c r="L74" s="1" t="str">
        <f t="shared" si="8"/>
        <v>Toluene</v>
      </c>
      <c r="M74" s="1">
        <v>927</v>
      </c>
      <c r="N74" s="1">
        <v>1920</v>
      </c>
      <c r="O74" s="1">
        <f>AVERAGE(M74:N74)</f>
        <v>1423.5</v>
      </c>
      <c r="P74" s="33">
        <f t="shared" si="10"/>
        <v>5.2999999999999998E-4</v>
      </c>
      <c r="Q74" s="33">
        <f t="shared" si="11"/>
        <v>5.0000000000000001E-4</v>
      </c>
    </row>
    <row r="75" spans="1:17" x14ac:dyDescent="0.15">
      <c r="A75" s="2" t="s">
        <v>122</v>
      </c>
      <c r="B75" s="4">
        <v>8.3199999999999995E-4</v>
      </c>
      <c r="C75" s="4"/>
      <c r="D75" s="29">
        <v>7</v>
      </c>
      <c r="E75" s="5">
        <v>25</v>
      </c>
      <c r="F75" s="30" t="s">
        <v>112</v>
      </c>
      <c r="G75" s="1" t="s">
        <v>24</v>
      </c>
      <c r="H75" s="1">
        <v>40</v>
      </c>
      <c r="I75" s="3">
        <v>4.0000000000000001E-3</v>
      </c>
      <c r="J75" s="23">
        <v>31</v>
      </c>
      <c r="L75" s="1" t="str">
        <f t="shared" ref="L75:L97" si="12">A75</f>
        <v>Toluene</v>
      </c>
      <c r="M75" s="31">
        <f>O75</f>
        <v>40</v>
      </c>
      <c r="O75" s="31">
        <f>H75</f>
        <v>40</v>
      </c>
      <c r="P75" s="33">
        <f t="shared" si="10"/>
        <v>8.3199999999999995E-4</v>
      </c>
      <c r="Q75" s="33">
        <f t="shared" si="11"/>
        <v>0</v>
      </c>
    </row>
    <row r="76" spans="1:17" x14ac:dyDescent="0.15">
      <c r="A76" s="2" t="s">
        <v>122</v>
      </c>
      <c r="B76" s="4">
        <v>2.5000000000000001E-4</v>
      </c>
      <c r="C76" s="4"/>
      <c r="D76" s="12" t="s">
        <v>410</v>
      </c>
      <c r="E76" s="3">
        <v>21</v>
      </c>
      <c r="F76" s="13" t="s">
        <v>75</v>
      </c>
      <c r="G76" s="1" t="s">
        <v>407</v>
      </c>
      <c r="H76" s="1" t="s">
        <v>408</v>
      </c>
      <c r="I76" s="1" t="s">
        <v>408</v>
      </c>
      <c r="J76" s="23">
        <v>55</v>
      </c>
      <c r="L76" s="19" t="str">
        <f t="shared" si="12"/>
        <v>Toluene</v>
      </c>
      <c r="M76" s="142" t="str">
        <f>O76</f>
        <v>N/A</v>
      </c>
      <c r="N76" s="19"/>
      <c r="O76" s="142" t="str">
        <f>H76</f>
        <v>N/A</v>
      </c>
      <c r="P76" s="143">
        <f t="shared" si="10"/>
        <v>2.5000000000000001E-4</v>
      </c>
      <c r="Q76" s="143">
        <f t="shared" si="11"/>
        <v>0</v>
      </c>
    </row>
    <row r="77" spans="1:17" x14ac:dyDescent="0.15">
      <c r="A77" s="2" t="s">
        <v>611</v>
      </c>
      <c r="B77" s="8">
        <f>0.03/0.001</f>
        <v>30</v>
      </c>
      <c r="C77" s="8">
        <f>20/300*B77</f>
        <v>2</v>
      </c>
      <c r="D77" s="12">
        <v>7.1</v>
      </c>
      <c r="E77" s="3">
        <v>21</v>
      </c>
      <c r="F77" s="13" t="s">
        <v>666</v>
      </c>
      <c r="G77" s="1" t="s">
        <v>133</v>
      </c>
      <c r="H77" s="1" t="s">
        <v>165</v>
      </c>
      <c r="I77" s="1">
        <v>1E-3</v>
      </c>
      <c r="J77" s="23">
        <v>17</v>
      </c>
      <c r="L77" s="144" t="str">
        <f t="shared" si="12"/>
        <v>trans-Dichloroethene (trans-DCE)</v>
      </c>
      <c r="M77" s="145">
        <f>O77</f>
        <v>10</v>
      </c>
      <c r="N77" s="144"/>
      <c r="O77" s="145">
        <v>10</v>
      </c>
      <c r="P77" s="146">
        <f t="shared" si="10"/>
        <v>30</v>
      </c>
      <c r="Q77" s="146">
        <f t="shared" si="11"/>
        <v>2</v>
      </c>
    </row>
    <row r="78" spans="1:17" x14ac:dyDescent="0.15">
      <c r="A78" s="2" t="s">
        <v>611</v>
      </c>
      <c r="B78" s="8">
        <v>48.6</v>
      </c>
      <c r="C78" s="8">
        <v>0.9</v>
      </c>
      <c r="D78" s="12">
        <v>7</v>
      </c>
      <c r="E78" s="3">
        <v>20</v>
      </c>
      <c r="F78" s="13" t="s">
        <v>112</v>
      </c>
      <c r="G78" s="1" t="s">
        <v>133</v>
      </c>
      <c r="H78" s="1" t="s">
        <v>674</v>
      </c>
      <c r="I78" s="1" t="s">
        <v>671</v>
      </c>
      <c r="J78" s="23">
        <v>22</v>
      </c>
      <c r="L78" s="1" t="str">
        <f t="shared" si="12"/>
        <v>trans-Dichloroethene (trans-DCE)</v>
      </c>
      <c r="M78" s="1">
        <v>16</v>
      </c>
      <c r="N78" s="1">
        <v>29</v>
      </c>
      <c r="O78" s="1">
        <f>AVERAGE(M78:N78)</f>
        <v>22.5</v>
      </c>
      <c r="P78" s="33">
        <f t="shared" si="10"/>
        <v>48.6</v>
      </c>
      <c r="Q78" s="33">
        <f t="shared" si="11"/>
        <v>0.9</v>
      </c>
    </row>
    <row r="79" spans="1:17" x14ac:dyDescent="0.15">
      <c r="A79" s="2" t="s">
        <v>611</v>
      </c>
      <c r="B79" s="8">
        <v>39</v>
      </c>
      <c r="C79" s="8">
        <v>3</v>
      </c>
      <c r="D79" s="29">
        <v>7</v>
      </c>
      <c r="E79" s="5">
        <v>25</v>
      </c>
      <c r="F79" s="30" t="s">
        <v>112</v>
      </c>
      <c r="G79" s="1" t="s">
        <v>24</v>
      </c>
      <c r="H79" s="1" t="s">
        <v>245</v>
      </c>
      <c r="I79" s="3" t="s">
        <v>246</v>
      </c>
      <c r="J79" s="23">
        <v>31</v>
      </c>
      <c r="L79" s="19" t="str">
        <f t="shared" si="12"/>
        <v>trans-Dichloroethene (trans-DCE)</v>
      </c>
      <c r="M79" s="19">
        <v>20</v>
      </c>
      <c r="N79" s="19">
        <v>40</v>
      </c>
      <c r="O79" s="1">
        <f>AVERAGE(M79:N79)</f>
        <v>30</v>
      </c>
      <c r="P79" s="143">
        <f t="shared" si="10"/>
        <v>39</v>
      </c>
      <c r="Q79" s="143">
        <f t="shared" si="11"/>
        <v>3</v>
      </c>
    </row>
    <row r="80" spans="1:17" x14ac:dyDescent="0.15">
      <c r="A80" s="2" t="s">
        <v>607</v>
      </c>
      <c r="B80" s="6">
        <f>0.54/60/60/0.0007</f>
        <v>0.2142857142857143</v>
      </c>
      <c r="C80" s="6"/>
      <c r="D80" s="12">
        <v>8</v>
      </c>
      <c r="E80" s="3">
        <v>22</v>
      </c>
      <c r="F80" s="13" t="s">
        <v>135</v>
      </c>
      <c r="G80" s="1" t="s">
        <v>133</v>
      </c>
      <c r="H80" s="1">
        <f>I80/(0.001/131.4)</f>
        <v>91.98</v>
      </c>
      <c r="I80" s="1">
        <v>6.9999999999999999E-4</v>
      </c>
      <c r="J80" s="23">
        <v>15</v>
      </c>
      <c r="L80" s="144" t="str">
        <f t="shared" si="12"/>
        <v>Trichloroethene (TCE)</v>
      </c>
      <c r="M80" s="145">
        <f>O80</f>
        <v>91.98</v>
      </c>
      <c r="N80" s="144"/>
      <c r="O80" s="145">
        <f>H80</f>
        <v>91.98</v>
      </c>
      <c r="P80" s="146">
        <f t="shared" si="10"/>
        <v>0.2142857142857143</v>
      </c>
      <c r="Q80" s="146">
        <f t="shared" si="11"/>
        <v>0</v>
      </c>
    </row>
    <row r="81" spans="1:17" x14ac:dyDescent="0.15">
      <c r="A81" s="2" t="s">
        <v>607</v>
      </c>
      <c r="B81" s="6">
        <v>0.66</v>
      </c>
      <c r="C81" s="6">
        <v>0.02</v>
      </c>
      <c r="D81" s="12" t="s">
        <v>145</v>
      </c>
      <c r="E81" s="3" t="s">
        <v>75</v>
      </c>
      <c r="F81" s="13" t="s">
        <v>141</v>
      </c>
      <c r="G81" s="1" t="s">
        <v>133</v>
      </c>
      <c r="H81" s="1" t="s">
        <v>665</v>
      </c>
      <c r="I81" s="1" t="s">
        <v>143</v>
      </c>
      <c r="J81" s="23">
        <v>16</v>
      </c>
      <c r="L81" s="1" t="str">
        <f t="shared" si="12"/>
        <v>Trichloroethene (TCE)</v>
      </c>
      <c r="M81" s="1">
        <v>4.7</v>
      </c>
      <c r="N81" s="1">
        <v>15</v>
      </c>
      <c r="O81" s="1">
        <f>AVERAGE(M81:N81)</f>
        <v>9.85</v>
      </c>
      <c r="P81" s="33">
        <f t="shared" si="10"/>
        <v>0.66</v>
      </c>
      <c r="Q81" s="33">
        <f t="shared" si="11"/>
        <v>0.02</v>
      </c>
    </row>
    <row r="82" spans="1:17" x14ac:dyDescent="0.15">
      <c r="A82" s="2" t="s">
        <v>607</v>
      </c>
      <c r="B82" s="6">
        <v>0.67</v>
      </c>
      <c r="C82" s="6">
        <v>0.03</v>
      </c>
      <c r="D82" s="39" t="s">
        <v>145</v>
      </c>
      <c r="E82" s="3">
        <v>21</v>
      </c>
      <c r="F82" s="13" t="s">
        <v>666</v>
      </c>
      <c r="G82" s="1" t="s">
        <v>133</v>
      </c>
      <c r="H82" s="1" t="s">
        <v>55</v>
      </c>
      <c r="I82" s="1" t="s">
        <v>143</v>
      </c>
      <c r="J82" s="23">
        <v>17</v>
      </c>
      <c r="L82" s="1" t="str">
        <f t="shared" si="12"/>
        <v>Trichloroethene (TCE)</v>
      </c>
      <c r="M82" s="1">
        <v>5</v>
      </c>
      <c r="N82" s="1">
        <v>15</v>
      </c>
      <c r="O82" s="1">
        <f>AVERAGE(M82:N82)</f>
        <v>10</v>
      </c>
      <c r="P82" s="33">
        <f t="shared" si="10"/>
        <v>0.67</v>
      </c>
      <c r="Q82" s="33">
        <f t="shared" si="11"/>
        <v>0.03</v>
      </c>
    </row>
    <row r="83" spans="1:17" x14ac:dyDescent="0.15">
      <c r="A83" s="2" t="s">
        <v>607</v>
      </c>
      <c r="B83" s="6">
        <v>0.67</v>
      </c>
      <c r="C83" s="6">
        <v>0.03</v>
      </c>
      <c r="D83" s="12" t="s">
        <v>145</v>
      </c>
      <c r="E83" s="3">
        <v>21</v>
      </c>
      <c r="F83" s="13" t="s">
        <v>112</v>
      </c>
      <c r="G83" s="1" t="s">
        <v>133</v>
      </c>
      <c r="H83" s="1">
        <f>0.63/0.09</f>
        <v>7</v>
      </c>
      <c r="I83" s="1">
        <v>6.3000000000000003E-4</v>
      </c>
      <c r="J83" s="23">
        <v>21</v>
      </c>
      <c r="L83" s="1" t="str">
        <f t="shared" si="12"/>
        <v>Trichloroethene (TCE)</v>
      </c>
      <c r="M83" s="31">
        <f>O83</f>
        <v>7</v>
      </c>
      <c r="O83" s="31">
        <f>H83</f>
        <v>7</v>
      </c>
      <c r="P83" s="33">
        <f t="shared" si="10"/>
        <v>0.67</v>
      </c>
      <c r="Q83" s="33">
        <f t="shared" si="11"/>
        <v>0.03</v>
      </c>
    </row>
    <row r="84" spans="1:17" x14ac:dyDescent="0.15">
      <c r="A84" s="2" t="s">
        <v>607</v>
      </c>
      <c r="B84" s="6">
        <v>0.8</v>
      </c>
      <c r="C84" s="6">
        <v>0.12</v>
      </c>
      <c r="D84" s="12">
        <v>7</v>
      </c>
      <c r="E84" s="3">
        <v>20</v>
      </c>
      <c r="F84" s="13" t="s">
        <v>112</v>
      </c>
      <c r="G84" s="1" t="s">
        <v>133</v>
      </c>
      <c r="H84" s="1" t="s">
        <v>670</v>
      </c>
      <c r="I84" s="1" t="s">
        <v>601</v>
      </c>
      <c r="J84" s="23">
        <v>22</v>
      </c>
      <c r="L84" s="1" t="str">
        <f t="shared" si="12"/>
        <v>Trichloroethene (TCE)</v>
      </c>
      <c r="M84" s="1">
        <v>16</v>
      </c>
      <c r="N84" s="1">
        <v>52.5</v>
      </c>
      <c r="O84" s="1">
        <f>AVERAGE(M84:N84)</f>
        <v>34.25</v>
      </c>
      <c r="P84" s="33">
        <f t="shared" si="10"/>
        <v>0.8</v>
      </c>
      <c r="Q84" s="33">
        <f t="shared" si="11"/>
        <v>0.12</v>
      </c>
    </row>
    <row r="85" spans="1:17" x14ac:dyDescent="0.15">
      <c r="A85" s="2" t="s">
        <v>607</v>
      </c>
      <c r="B85" s="6">
        <f>AVERAGE(0.00102/(0.25/158),0.00065/(0.155/158))</f>
        <v>0.65361032258064511</v>
      </c>
      <c r="C85" s="6">
        <f>STDEV(0.00102/(0.25/158),0.00065/(0.155/158))</f>
        <v>1.2685951852409869E-2</v>
      </c>
      <c r="D85" s="12">
        <v>5.6</v>
      </c>
      <c r="E85" s="3">
        <v>23</v>
      </c>
      <c r="F85" s="13" t="s">
        <v>148</v>
      </c>
      <c r="G85" s="1" t="s">
        <v>133</v>
      </c>
      <c r="H85" s="1" t="s">
        <v>677</v>
      </c>
      <c r="I85" s="1" t="s">
        <v>174</v>
      </c>
      <c r="J85" s="23">
        <v>24</v>
      </c>
      <c r="L85" s="1" t="str">
        <f t="shared" si="12"/>
        <v>Trichloroethene (TCE)</v>
      </c>
      <c r="M85" s="1">
        <v>2.6</v>
      </c>
      <c r="N85" s="1">
        <v>4</v>
      </c>
      <c r="O85" s="1">
        <f>AVERAGE(M85:N85)</f>
        <v>3.3</v>
      </c>
      <c r="P85" s="33">
        <f t="shared" si="10"/>
        <v>0.65361032258064511</v>
      </c>
      <c r="Q85" s="33">
        <f t="shared" si="11"/>
        <v>1.2685951852409869E-2</v>
      </c>
    </row>
    <row r="86" spans="1:17" x14ac:dyDescent="0.15">
      <c r="A86" s="2" t="s">
        <v>607</v>
      </c>
      <c r="B86" s="6">
        <v>0.76</v>
      </c>
      <c r="C86" s="6">
        <v>0.03</v>
      </c>
      <c r="D86" s="29">
        <v>7</v>
      </c>
      <c r="E86" s="5">
        <v>25</v>
      </c>
      <c r="F86" s="30" t="s">
        <v>112</v>
      </c>
      <c r="G86" s="1" t="s">
        <v>24</v>
      </c>
      <c r="H86" s="1" t="s">
        <v>228</v>
      </c>
      <c r="I86" s="3" t="s">
        <v>60</v>
      </c>
      <c r="J86" s="23">
        <v>31</v>
      </c>
      <c r="L86" s="1" t="str">
        <f t="shared" si="12"/>
        <v>Trichloroethene (TCE)</v>
      </c>
      <c r="M86" s="1">
        <v>10</v>
      </c>
      <c r="N86" s="1">
        <v>40</v>
      </c>
      <c r="O86" s="1">
        <f>AVERAGE(M86:N86)</f>
        <v>25</v>
      </c>
      <c r="P86" s="33">
        <f t="shared" si="10"/>
        <v>0.76</v>
      </c>
      <c r="Q86" s="33">
        <f t="shared" si="11"/>
        <v>0.03</v>
      </c>
    </row>
    <row r="87" spans="1:17" x14ac:dyDescent="0.15">
      <c r="A87" s="2" t="s">
        <v>607</v>
      </c>
      <c r="B87" s="6">
        <v>0.8</v>
      </c>
      <c r="C87" s="6"/>
      <c r="D87" s="12" t="s">
        <v>409</v>
      </c>
      <c r="E87" s="3">
        <v>21</v>
      </c>
      <c r="F87" s="13" t="s">
        <v>75</v>
      </c>
      <c r="G87" s="1" t="s">
        <v>407</v>
      </c>
      <c r="H87" s="1" t="s">
        <v>408</v>
      </c>
      <c r="I87" s="1" t="s">
        <v>408</v>
      </c>
      <c r="J87" s="23">
        <v>55</v>
      </c>
      <c r="L87" s="1" t="str">
        <f t="shared" si="12"/>
        <v>Trichloroethene (TCE)</v>
      </c>
      <c r="M87" s="31">
        <v>0</v>
      </c>
      <c r="O87" s="31" t="str">
        <f>H87</f>
        <v>N/A</v>
      </c>
      <c r="P87" s="33">
        <f t="shared" si="10"/>
        <v>0.8</v>
      </c>
      <c r="Q87" s="33">
        <f t="shared" si="11"/>
        <v>0</v>
      </c>
    </row>
    <row r="88" spans="1:17" x14ac:dyDescent="0.15">
      <c r="A88" s="2" t="s">
        <v>607</v>
      </c>
      <c r="B88" s="6">
        <f>AVERAGE(0.61,0.96,1.21)</f>
        <v>0.92666666666666664</v>
      </c>
      <c r="C88" s="6"/>
      <c r="D88" s="12">
        <v>5.6</v>
      </c>
      <c r="E88" s="3" t="s">
        <v>75</v>
      </c>
      <c r="F88" s="13" t="s">
        <v>148</v>
      </c>
      <c r="G88" s="1" t="s">
        <v>133</v>
      </c>
      <c r="H88" s="1" t="s">
        <v>255</v>
      </c>
      <c r="I88" s="1" t="s">
        <v>422</v>
      </c>
      <c r="J88" s="23">
        <v>58</v>
      </c>
      <c r="L88" s="1" t="str">
        <f t="shared" si="12"/>
        <v>Trichloroethene (TCE)</v>
      </c>
      <c r="M88" s="1">
        <v>10</v>
      </c>
      <c r="N88" s="1">
        <v>20</v>
      </c>
      <c r="O88" s="1">
        <f>AVERAGE(M88:N88)</f>
        <v>15</v>
      </c>
      <c r="P88" s="33">
        <f t="shared" si="10"/>
        <v>0.92666666666666664</v>
      </c>
      <c r="Q88" s="33">
        <f t="shared" si="11"/>
        <v>0</v>
      </c>
    </row>
    <row r="89" spans="1:17" x14ac:dyDescent="0.15">
      <c r="A89" s="2" t="s">
        <v>607</v>
      </c>
      <c r="B89" s="6">
        <v>0.76</v>
      </c>
      <c r="C89" s="6">
        <v>0.06</v>
      </c>
      <c r="D89" s="12">
        <v>6.25</v>
      </c>
      <c r="E89" s="3" t="s">
        <v>75</v>
      </c>
      <c r="F89" s="13" t="s">
        <v>509</v>
      </c>
      <c r="G89" s="1" t="s">
        <v>133</v>
      </c>
      <c r="H89" s="1" t="s">
        <v>507</v>
      </c>
      <c r="I89" s="1" t="s">
        <v>506</v>
      </c>
      <c r="J89" s="23">
        <v>80</v>
      </c>
      <c r="L89" s="1" t="str">
        <f t="shared" si="12"/>
        <v>Trichloroethene (TCE)</v>
      </c>
      <c r="M89" s="1">
        <v>0.4</v>
      </c>
      <c r="N89" s="1">
        <v>4</v>
      </c>
      <c r="O89" s="1">
        <f>AVERAGE(M89:N89)</f>
        <v>2.2000000000000002</v>
      </c>
      <c r="P89" s="33">
        <f t="shared" si="10"/>
        <v>0.76</v>
      </c>
      <c r="Q89" s="33">
        <f t="shared" si="11"/>
        <v>0.06</v>
      </c>
    </row>
    <row r="90" spans="1:17" x14ac:dyDescent="0.15">
      <c r="A90" s="2" t="s">
        <v>607</v>
      </c>
      <c r="B90" s="6">
        <v>0.8</v>
      </c>
      <c r="C90" s="6"/>
      <c r="D90" s="12">
        <v>6.3</v>
      </c>
      <c r="E90" s="3">
        <v>25</v>
      </c>
      <c r="F90" s="13" t="s">
        <v>148</v>
      </c>
      <c r="G90" s="1" t="s">
        <v>133</v>
      </c>
      <c r="H90" s="1" t="s">
        <v>192</v>
      </c>
      <c r="I90" s="1" t="s">
        <v>512</v>
      </c>
      <c r="J90" s="23">
        <v>81</v>
      </c>
      <c r="L90" s="1" t="str">
        <f t="shared" si="12"/>
        <v>Trichloroethene (TCE)</v>
      </c>
      <c r="M90" s="1">
        <v>2</v>
      </c>
      <c r="N90" s="1">
        <v>20</v>
      </c>
      <c r="O90" s="1">
        <f>AVERAGE(M90:N90)</f>
        <v>11</v>
      </c>
      <c r="P90" s="33">
        <f t="shared" si="10"/>
        <v>0.8</v>
      </c>
      <c r="Q90" s="33">
        <f t="shared" si="11"/>
        <v>0</v>
      </c>
    </row>
    <row r="91" spans="1:17" x14ac:dyDescent="0.15">
      <c r="A91" s="2" t="s">
        <v>607</v>
      </c>
      <c r="B91" s="6">
        <v>0.92</v>
      </c>
      <c r="C91" s="6">
        <v>7.0000000000000007E-2</v>
      </c>
      <c r="D91" s="12">
        <v>6.9</v>
      </c>
      <c r="E91" s="3">
        <v>20</v>
      </c>
      <c r="F91" s="13" t="s">
        <v>227</v>
      </c>
      <c r="G91" s="1" t="s">
        <v>133</v>
      </c>
      <c r="H91" s="1" t="s">
        <v>701</v>
      </c>
      <c r="I91" s="1" t="s">
        <v>515</v>
      </c>
      <c r="J91" s="23">
        <v>82</v>
      </c>
      <c r="L91" s="1" t="str">
        <f t="shared" si="12"/>
        <v>Trichloroethene (TCE)</v>
      </c>
      <c r="M91" s="1">
        <v>15</v>
      </c>
      <c r="N91" s="1">
        <v>22</v>
      </c>
      <c r="O91" s="1">
        <f>AVERAGE(M91:N91)</f>
        <v>18.5</v>
      </c>
      <c r="P91" s="33">
        <f t="shared" si="10"/>
        <v>0.92</v>
      </c>
      <c r="Q91" s="33">
        <f t="shared" si="11"/>
        <v>7.0000000000000007E-2</v>
      </c>
    </row>
    <row r="92" spans="1:17" x14ac:dyDescent="0.15">
      <c r="A92" s="2" t="s">
        <v>607</v>
      </c>
      <c r="B92" s="1">
        <v>0.89</v>
      </c>
      <c r="C92" s="1">
        <v>0.03</v>
      </c>
      <c r="D92" s="12">
        <v>7</v>
      </c>
      <c r="E92" s="3">
        <v>20</v>
      </c>
      <c r="F92" s="13" t="s">
        <v>112</v>
      </c>
      <c r="G92" s="1" t="s">
        <v>133</v>
      </c>
      <c r="H92" s="1" t="s">
        <v>602</v>
      </c>
      <c r="I92" s="1" t="s">
        <v>601</v>
      </c>
      <c r="J92" s="23">
        <v>84</v>
      </c>
      <c r="L92" s="1" t="str">
        <f t="shared" si="12"/>
        <v>Trichloroethene (TCE)</v>
      </c>
      <c r="M92" s="1">
        <v>10</v>
      </c>
      <c r="N92" s="1">
        <v>33</v>
      </c>
      <c r="O92" s="1">
        <f>AVERAGE(M92:N92)</f>
        <v>21.5</v>
      </c>
      <c r="P92" s="33">
        <f t="shared" si="10"/>
        <v>0.89</v>
      </c>
      <c r="Q92" s="33">
        <f t="shared" si="11"/>
        <v>0.03</v>
      </c>
    </row>
    <row r="93" spans="1:17" x14ac:dyDescent="0.15">
      <c r="A93" s="2" t="s">
        <v>607</v>
      </c>
      <c r="B93" s="95">
        <f>46/60</f>
        <v>0.76666666666666672</v>
      </c>
      <c r="D93" s="12">
        <v>5.3</v>
      </c>
      <c r="E93" s="3" t="s">
        <v>75</v>
      </c>
      <c r="F93" s="13" t="s">
        <v>148</v>
      </c>
      <c r="G93" s="1" t="s">
        <v>133</v>
      </c>
      <c r="H93" s="1">
        <v>15</v>
      </c>
      <c r="I93" s="1">
        <v>7.9000000000000008E-3</v>
      </c>
      <c r="J93" s="23">
        <v>85</v>
      </c>
      <c r="L93" s="19" t="str">
        <f t="shared" si="12"/>
        <v>Trichloroethene (TCE)</v>
      </c>
      <c r="M93" s="142">
        <f>O93</f>
        <v>15</v>
      </c>
      <c r="N93" s="19"/>
      <c r="O93" s="142">
        <f>H93</f>
        <v>15</v>
      </c>
      <c r="P93" s="143">
        <f t="shared" si="10"/>
        <v>0.76666666666666672</v>
      </c>
      <c r="Q93" s="143">
        <f t="shared" si="11"/>
        <v>0</v>
      </c>
    </row>
    <row r="94" spans="1:17" x14ac:dyDescent="0.15">
      <c r="A94" s="2" t="s">
        <v>286</v>
      </c>
      <c r="B94" s="5">
        <v>129</v>
      </c>
      <c r="C94" s="5">
        <f>0.05*B94</f>
        <v>6.45</v>
      </c>
      <c r="D94" s="12">
        <v>7</v>
      </c>
      <c r="E94" s="3">
        <v>23</v>
      </c>
      <c r="F94" s="13" t="s">
        <v>289</v>
      </c>
      <c r="G94" s="1" t="s">
        <v>133</v>
      </c>
      <c r="H94" s="1" t="s">
        <v>287</v>
      </c>
      <c r="I94" s="1" t="s">
        <v>288</v>
      </c>
      <c r="J94" s="23">
        <v>37</v>
      </c>
      <c r="L94" s="1" t="str">
        <f t="shared" si="12"/>
        <v>Triclosan</v>
      </c>
      <c r="M94" s="1">
        <v>10</v>
      </c>
      <c r="N94" s="1">
        <v>25</v>
      </c>
      <c r="O94" s="1">
        <f>AVERAGE(M94:N94)</f>
        <v>17.5</v>
      </c>
      <c r="P94" s="33">
        <f t="shared" si="10"/>
        <v>129</v>
      </c>
      <c r="Q94" s="33">
        <f t="shared" si="11"/>
        <v>6.45</v>
      </c>
    </row>
    <row r="95" spans="1:17" x14ac:dyDescent="0.15">
      <c r="A95" s="2" t="s">
        <v>286</v>
      </c>
      <c r="B95" s="5">
        <v>317.48</v>
      </c>
      <c r="C95" s="5">
        <f>6.38/79.37*B95</f>
        <v>25.52</v>
      </c>
      <c r="D95" s="12">
        <v>7</v>
      </c>
      <c r="E95" s="3" t="s">
        <v>75</v>
      </c>
      <c r="F95" s="13" t="s">
        <v>112</v>
      </c>
      <c r="G95" s="1" t="s">
        <v>24</v>
      </c>
      <c r="H95" s="1">
        <v>5</v>
      </c>
      <c r="I95" s="1">
        <v>2.5000000000000001E-4</v>
      </c>
      <c r="J95" s="23">
        <v>40</v>
      </c>
      <c r="L95" s="1" t="str">
        <f t="shared" si="12"/>
        <v>Triclosan</v>
      </c>
      <c r="M95" s="31">
        <f>O95</f>
        <v>5</v>
      </c>
      <c r="O95" s="31">
        <f>H95</f>
        <v>5</v>
      </c>
      <c r="P95" s="33">
        <f t="shared" si="10"/>
        <v>317.48</v>
      </c>
      <c r="Q95" s="33">
        <f t="shared" si="11"/>
        <v>25.52</v>
      </c>
    </row>
    <row r="96" spans="1:17" x14ac:dyDescent="0.15">
      <c r="A96" s="2" t="s">
        <v>286</v>
      </c>
      <c r="B96" s="5">
        <f>-LN(1/100)/120/((0.02/289.5)*2.5)</f>
        <v>222.19946147392537</v>
      </c>
      <c r="C96" s="96">
        <f>0.02/289.5*2.5</f>
        <v>1.7271157167530226E-4</v>
      </c>
      <c r="D96" s="12">
        <v>8</v>
      </c>
      <c r="E96" s="3">
        <v>25</v>
      </c>
      <c r="F96" s="13" t="s">
        <v>75</v>
      </c>
      <c r="G96" s="1" t="s">
        <v>133</v>
      </c>
      <c r="H96" s="1">
        <v>2.5</v>
      </c>
      <c r="I96" s="1">
        <v>1.7000000000000001E-4</v>
      </c>
      <c r="J96" s="23">
        <v>60</v>
      </c>
      <c r="L96" s="1" t="str">
        <f t="shared" si="12"/>
        <v>Triclosan</v>
      </c>
      <c r="M96" s="31">
        <f>O96</f>
        <v>2.5</v>
      </c>
      <c r="O96" s="31">
        <f t="shared" ref="O96" si="13">H96</f>
        <v>2.5</v>
      </c>
      <c r="P96" s="33">
        <f t="shared" si="10"/>
        <v>222.19946147392537</v>
      </c>
      <c r="Q96" s="33">
        <f t="shared" si="11"/>
        <v>1.7271157167530226E-4</v>
      </c>
    </row>
    <row r="97" spans="1:17" x14ac:dyDescent="0.15">
      <c r="A97" s="2" t="s">
        <v>286</v>
      </c>
      <c r="B97" s="5">
        <v>110.4</v>
      </c>
      <c r="C97" s="5">
        <v>3</v>
      </c>
      <c r="D97" s="12">
        <v>7</v>
      </c>
      <c r="E97" s="3">
        <v>25</v>
      </c>
      <c r="F97" s="13" t="s">
        <v>452</v>
      </c>
      <c r="G97" s="1" t="s">
        <v>133</v>
      </c>
      <c r="H97" s="1" t="s">
        <v>456</v>
      </c>
      <c r="I97" s="1" t="s">
        <v>453</v>
      </c>
      <c r="J97" s="23">
        <v>67</v>
      </c>
      <c r="L97" s="1" t="str">
        <f t="shared" si="12"/>
        <v>Triclosan</v>
      </c>
      <c r="M97" s="1">
        <v>5</v>
      </c>
      <c r="N97" s="1">
        <v>39</v>
      </c>
      <c r="O97" s="1">
        <f>AVERAGE(M97:N97)</f>
        <v>22</v>
      </c>
      <c r="P97" s="33">
        <f t="shared" si="10"/>
        <v>110.4</v>
      </c>
      <c r="Q97" s="33">
        <f t="shared" si="11"/>
        <v>3</v>
      </c>
    </row>
  </sheetData>
  <sortState xmlns:xlrd2="http://schemas.microsoft.com/office/spreadsheetml/2017/richdata2" ref="A3:J97">
    <sortCondition ref="A3:A97"/>
  </sortState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Rate Constant Compilation</vt:lpstr>
      <vt:lpstr>Compound Compilation</vt:lpstr>
      <vt:lpstr>Table 1 Values</vt:lpstr>
      <vt:lpstr>Figure 1- Alkenes</vt:lpstr>
      <vt:lpstr>Figure 1- Phenols</vt:lpstr>
      <vt:lpstr>Figure 1- Anilines</vt:lpstr>
      <vt:lpstr>Figure 1- Benzylic C-H</vt:lpstr>
      <vt:lpstr>Model Compound Analysis</vt:lpstr>
      <vt:lpstr>Figure 4- Contaminant Analysis</vt:lpstr>
      <vt:lpstr>Figure 6- Microcystins</vt:lpstr>
      <vt:lpstr>Pseudo First Order Conditions</vt:lpstr>
      <vt:lpstr>'Rate Constant Compilation'!_Hlk70956889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July Laszakovits</dc:creator>
  <cp:lastModifiedBy>Skyla White</cp:lastModifiedBy>
  <dcterms:created xsi:type="dcterms:W3CDTF">2020-05-18T21:33:43Z</dcterms:created>
  <dcterms:modified xsi:type="dcterms:W3CDTF">2026-01-14T14:34:01Z</dcterms:modified>
</cp:coreProperties>
</file>