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astroskyla/Documents/Cambridge/KineticsErrors/ErrorsPaper/Paper_Analysis/"/>
    </mc:Choice>
  </mc:AlternateContent>
  <xr:revisionPtr revIDLastSave="0" documentId="8_{8F08454C-DF62-D541-A98A-B90D0237E0DB}" xr6:coauthVersionLast="47" xr6:coauthVersionMax="47" xr10:uidLastSave="{00000000-0000-0000-0000-000000000000}"/>
  <bookViews>
    <workbookView xWindow="260" yWindow="620" windowWidth="28540" windowHeight="16360" firstSheet="2" activeTab="2" xr2:uid="{2EE89C9A-AD98-4248-9A75-5A53B6A39DCD}"/>
  </bookViews>
  <sheets>
    <sheet name="Papers and Values" sheetId="1" r:id="rId1"/>
    <sheet name="rate k" sheetId="3" r:id="rId2"/>
    <sheet name="Analysed Data Lazscovitz" sheetId="4" r:id="rId3"/>
    <sheet name="Huang et al 2001" sheetId="2" r:id="rId4"/>
    <sheet name="Waldemer 2001"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 i="2" l="1"/>
  <c r="M39" i="2" s="1"/>
  <c r="N34" i="2"/>
  <c r="M34" i="2"/>
  <c r="I34" i="2"/>
  <c r="T3" i="2"/>
  <c r="N2" i="2"/>
  <c r="U7" i="2"/>
  <c r="U6" i="2"/>
  <c r="U5" i="2"/>
  <c r="U3" i="2"/>
  <c r="T7" i="2"/>
  <c r="T6" i="2"/>
  <c r="T5" i="2"/>
  <c r="S7" i="2"/>
  <c r="S6" i="2"/>
  <c r="S5" i="2"/>
  <c r="S4" i="2"/>
  <c r="S3" i="2"/>
  <c r="O2" i="2"/>
  <c r="I2" i="2"/>
  <c r="L2" i="2"/>
  <c r="M2" i="2"/>
  <c r="L27" i="2"/>
  <c r="L21" i="2"/>
  <c r="L15" i="2"/>
  <c r="L8" i="2"/>
  <c r="J27" i="2"/>
  <c r="J21" i="2"/>
  <c r="J15" i="2"/>
  <c r="J8" i="2"/>
  <c r="H8" i="2"/>
  <c r="H9" i="2"/>
  <c r="H10" i="2"/>
  <c r="H11" i="2"/>
  <c r="H12" i="2"/>
  <c r="H13" i="2"/>
  <c r="H15" i="2"/>
  <c r="H16" i="2"/>
  <c r="H17" i="2"/>
  <c r="H18" i="2"/>
  <c r="H19" i="2"/>
  <c r="H21" i="2"/>
  <c r="H22" i="2"/>
  <c r="H23" i="2"/>
  <c r="H24" i="2"/>
  <c r="H25" i="2"/>
  <c r="H27" i="2"/>
  <c r="H28" i="2"/>
  <c r="H29" i="2"/>
  <c r="H30" i="2"/>
  <c r="H31" i="2"/>
  <c r="D6" i="2"/>
  <c r="H6" i="2" s="1"/>
  <c r="D5" i="2"/>
  <c r="H5" i="2" s="1"/>
  <c r="D4" i="2"/>
  <c r="H4" i="2" s="1"/>
  <c r="D3" i="2"/>
  <c r="H3" i="2" s="1"/>
  <c r="D2" i="2"/>
  <c r="I3" i="2"/>
  <c r="E3" i="5"/>
  <c r="F3" i="5"/>
  <c r="C15" i="5"/>
  <c r="F15" i="5"/>
  <c r="E15" i="5"/>
  <c r="E4" i="5"/>
  <c r="E5" i="5"/>
  <c r="E6" i="5"/>
  <c r="E7" i="5"/>
  <c r="E8" i="5"/>
  <c r="E9" i="5"/>
  <c r="E10" i="5"/>
  <c r="E11" i="5"/>
  <c r="E12" i="5"/>
  <c r="E13" i="5"/>
  <c r="E14" i="5"/>
  <c r="F10" i="5"/>
  <c r="I4" i="5"/>
  <c r="I5" i="5"/>
  <c r="I6" i="5"/>
  <c r="I7" i="5"/>
  <c r="I8" i="5"/>
  <c r="I9" i="5"/>
  <c r="I10" i="5"/>
  <c r="I11" i="5"/>
  <c r="I12" i="5"/>
  <c r="I13" i="5"/>
  <c r="I14" i="5"/>
  <c r="I3" i="5"/>
  <c r="H4" i="5"/>
  <c r="H5" i="5"/>
  <c r="H6" i="5"/>
  <c r="H7" i="5"/>
  <c r="H8" i="5"/>
  <c r="H9" i="5"/>
  <c r="H10" i="5"/>
  <c r="H11" i="5"/>
  <c r="H12" i="5"/>
  <c r="H13" i="5"/>
  <c r="H14" i="5"/>
  <c r="H3" i="5"/>
  <c r="F4" i="5"/>
  <c r="F5" i="5"/>
  <c r="F6" i="5"/>
  <c r="F7" i="5"/>
  <c r="F8" i="5"/>
  <c r="F9" i="5"/>
  <c r="F11" i="5"/>
  <c r="F12" i="5"/>
  <c r="F13" i="5"/>
  <c r="F14" i="5"/>
  <c r="G4" i="5"/>
  <c r="G5" i="5"/>
  <c r="G6" i="5"/>
  <c r="G7" i="5"/>
  <c r="G8" i="5"/>
  <c r="G9" i="5"/>
  <c r="G10" i="5"/>
  <c r="G11" i="5"/>
  <c r="G12" i="5"/>
  <c r="G13" i="5"/>
  <c r="G14" i="5"/>
  <c r="G3" i="5"/>
  <c r="K2" i="2"/>
  <c r="C124" i="3"/>
  <c r="E157" i="3"/>
  <c r="C157" i="3"/>
  <c r="E183" i="3"/>
  <c r="C183" i="3"/>
  <c r="E60" i="3"/>
  <c r="C60" i="3"/>
  <c r="E204" i="3"/>
  <c r="C204" i="3"/>
  <c r="E47" i="3"/>
  <c r="C47" i="3"/>
  <c r="E63" i="3"/>
  <c r="C63" i="3"/>
  <c r="C323" i="3"/>
  <c r="K259" i="3"/>
  <c r="L332" i="3"/>
  <c r="C287" i="3"/>
  <c r="C94" i="3"/>
  <c r="E94" i="3" s="1"/>
  <c r="K133" i="3"/>
  <c r="E326" i="3"/>
  <c r="C326" i="3"/>
  <c r="K284" i="3"/>
  <c r="C284" i="3"/>
  <c r="C318" i="3"/>
  <c r="K130" i="3"/>
  <c r="K129" i="3"/>
  <c r="L175" i="3"/>
  <c r="K175" i="3" s="1"/>
  <c r="C175" i="3"/>
  <c r="E175" i="3" s="1"/>
  <c r="L205" i="3"/>
  <c r="K205" i="3" s="1"/>
  <c r="C205" i="3"/>
  <c r="E205" i="3" s="1"/>
  <c r="L258" i="3"/>
  <c r="K258" i="3" s="1"/>
  <c r="C258" i="3"/>
  <c r="E45" i="3"/>
  <c r="E34" i="3"/>
  <c r="E78" i="3"/>
  <c r="E56" i="3"/>
  <c r="E19" i="3"/>
  <c r="E285" i="3"/>
  <c r="E247" i="3"/>
  <c r="E140" i="3"/>
  <c r="E139" i="3"/>
  <c r="E273" i="3"/>
  <c r="E178" i="3"/>
  <c r="E197" i="3"/>
  <c r="E163" i="3"/>
  <c r="E202" i="3"/>
  <c r="E248" i="3"/>
  <c r="E251" i="3"/>
  <c r="E193" i="3"/>
  <c r="E215" i="3"/>
  <c r="E118" i="3"/>
  <c r="E288" i="3"/>
  <c r="E155" i="3"/>
  <c r="E184" i="3"/>
  <c r="E117" i="3"/>
  <c r="E181" i="3"/>
  <c r="E162" i="3"/>
  <c r="E174" i="3"/>
  <c r="E328" i="3"/>
  <c r="E253" i="3"/>
  <c r="E252" i="3"/>
  <c r="E283" i="3"/>
  <c r="E146" i="3"/>
  <c r="E151" i="3"/>
  <c r="E119" i="3"/>
  <c r="E255" i="3"/>
  <c r="E300" i="3"/>
  <c r="E211" i="3"/>
  <c r="E168" i="3"/>
  <c r="E127" i="3"/>
  <c r="E142" i="3"/>
  <c r="E325" i="3"/>
  <c r="E145" i="3"/>
  <c r="E106" i="3"/>
  <c r="E33" i="3"/>
  <c r="E264" i="3"/>
  <c r="E324" i="3"/>
  <c r="E36" i="3"/>
  <c r="C36" i="3"/>
  <c r="E290" i="3"/>
  <c r="C290" i="3"/>
  <c r="E221" i="3"/>
  <c r="C221" i="3"/>
  <c r="E298" i="3"/>
  <c r="C298" i="3"/>
  <c r="K110" i="3"/>
  <c r="C110" i="3"/>
  <c r="C239" i="3"/>
  <c r="E239" i="3" s="1"/>
  <c r="C199" i="3"/>
  <c r="K44" i="3"/>
  <c r="C44" i="3"/>
  <c r="K31" i="3"/>
  <c r="C31" i="3"/>
  <c r="K77" i="3"/>
  <c r="C77" i="3"/>
  <c r="K262" i="3"/>
  <c r="C262" i="3"/>
  <c r="C160" i="3"/>
  <c r="E315" i="3"/>
  <c r="C315" i="3"/>
  <c r="E297" i="3"/>
  <c r="C297" i="3"/>
  <c r="C220" i="3"/>
  <c r="E220" i="3" s="1"/>
  <c r="K313" i="3"/>
  <c r="E208" i="3"/>
  <c r="E191" i="3"/>
  <c r="C303" i="3"/>
  <c r="E121" i="3"/>
  <c r="C295" i="3"/>
  <c r="E295" i="3" s="1"/>
  <c r="C3" i="3"/>
  <c r="E3" i="3" s="1"/>
  <c r="C294" i="3"/>
  <c r="E294" i="3" s="1"/>
  <c r="C158" i="3"/>
  <c r="E158" i="3" s="1"/>
  <c r="C307" i="3"/>
  <c r="E307" i="3" s="1"/>
  <c r="K310" i="3"/>
  <c r="C310" i="3"/>
  <c r="K120" i="3"/>
  <c r="K125" i="3"/>
  <c r="K261" i="3"/>
  <c r="C301" i="3"/>
  <c r="E170" i="3"/>
  <c r="E134" i="3"/>
  <c r="E171" i="3"/>
  <c r="E149" i="3"/>
  <c r="E272" i="3"/>
  <c r="E278" i="3"/>
  <c r="K24" i="3"/>
  <c r="C24" i="3"/>
  <c r="K64" i="3"/>
  <c r="C64" i="3"/>
  <c r="K90" i="3"/>
  <c r="C90" i="3"/>
  <c r="K25" i="3"/>
  <c r="C25" i="3"/>
  <c r="K66" i="3"/>
  <c r="C66" i="3"/>
  <c r="K92" i="3"/>
  <c r="C92" i="3"/>
  <c r="E179" i="3"/>
  <c r="E222" i="3"/>
  <c r="E223" i="3"/>
  <c r="E196" i="3"/>
  <c r="E216" i="3"/>
  <c r="C280" i="3"/>
  <c r="E107" i="3"/>
  <c r="E108" i="3"/>
  <c r="U4" i="2" l="1"/>
  <c r="T4" i="2"/>
  <c r="H2" i="2"/>
  <c r="J2" i="2"/>
  <c r="E56" i="2"/>
  <c r="I56" i="2" s="1"/>
  <c r="E51" i="2"/>
  <c r="I51" i="2" s="1"/>
  <c r="N46" i="2"/>
  <c r="N47" i="2"/>
  <c r="N35" i="2"/>
  <c r="Q34" i="2" s="1"/>
  <c r="N36" i="2"/>
  <c r="N37" i="2"/>
  <c r="N39" i="2"/>
  <c r="N40" i="2"/>
  <c r="N41" i="2"/>
  <c r="N42" i="2"/>
  <c r="Q58" i="2" s="1"/>
  <c r="N45" i="2"/>
  <c r="N50" i="2"/>
  <c r="N51" i="2"/>
  <c r="N52" i="2"/>
  <c r="N55" i="2"/>
  <c r="N56" i="2"/>
  <c r="N57" i="2"/>
  <c r="K35" i="2"/>
  <c r="K36" i="2"/>
  <c r="K37" i="2"/>
  <c r="K39" i="2"/>
  <c r="K40" i="2"/>
  <c r="K41" i="2"/>
  <c r="K42" i="2"/>
  <c r="K44" i="2"/>
  <c r="K45" i="2"/>
  <c r="K46" i="2"/>
  <c r="K47" i="2"/>
  <c r="K49" i="2"/>
  <c r="K50" i="2"/>
  <c r="K51" i="2"/>
  <c r="K52" i="2"/>
  <c r="K54" i="2"/>
  <c r="K55" i="2"/>
  <c r="K56" i="2"/>
  <c r="K57" i="2"/>
  <c r="K34" i="2"/>
  <c r="Q35" i="2" s="1"/>
  <c r="I57" i="2"/>
  <c r="I52" i="2"/>
  <c r="I46" i="2"/>
  <c r="I47" i="2"/>
  <c r="I41" i="2"/>
  <c r="I42" i="2"/>
  <c r="I37" i="2"/>
  <c r="K27" i="2"/>
  <c r="M27" i="2"/>
  <c r="N27" i="2" s="1"/>
  <c r="K21" i="2"/>
  <c r="M21" i="2"/>
  <c r="K15" i="2"/>
  <c r="M15" i="2"/>
  <c r="M8" i="2"/>
  <c r="K8" i="2"/>
  <c r="I4" i="2"/>
  <c r="I5" i="2"/>
  <c r="I6" i="2"/>
  <c r="I8" i="2"/>
  <c r="I9" i="2"/>
  <c r="I10" i="2"/>
  <c r="I11" i="2"/>
  <c r="I12" i="2"/>
  <c r="I13" i="2"/>
  <c r="I15" i="2"/>
  <c r="I16" i="2"/>
  <c r="I17" i="2"/>
  <c r="I18" i="2"/>
  <c r="I19" i="2"/>
  <c r="I21" i="2"/>
  <c r="I22" i="2"/>
  <c r="I23" i="2"/>
  <c r="I24" i="2"/>
  <c r="I25" i="2"/>
  <c r="I27" i="2"/>
  <c r="I28" i="2"/>
  <c r="I29" i="2"/>
  <c r="I30" i="2"/>
  <c r="I31" i="2"/>
  <c r="I35" i="2"/>
  <c r="I36" i="2"/>
  <c r="I39" i="2"/>
  <c r="I40" i="2"/>
  <c r="I44" i="2"/>
  <c r="I45" i="2"/>
  <c r="I49" i="2"/>
  <c r="I50" i="2"/>
  <c r="I54" i="2"/>
  <c r="I55" i="2"/>
  <c r="Q37" i="2" l="1"/>
  <c r="Q39" i="2"/>
  <c r="P2" i="2"/>
  <c r="Q60" i="2"/>
  <c r="N8" i="2"/>
  <c r="N15" i="2"/>
  <c r="Q62" i="2"/>
  <c r="Q61" i="2"/>
  <c r="Q63" i="2"/>
  <c r="N21" i="2"/>
  <c r="Q59" i="2"/>
  <c r="P21" i="2"/>
  <c r="M49" i="2" s="1"/>
  <c r="N49" i="2" s="1"/>
  <c r="P27" i="2"/>
  <c r="M54" i="2" s="1"/>
  <c r="N54" i="2" s="1"/>
  <c r="P15" i="2"/>
  <c r="M44" i="2" s="1"/>
  <c r="N44" i="2" s="1"/>
  <c r="Q42" i="2" s="1"/>
  <c r="O21" i="2"/>
  <c r="O8" i="2"/>
  <c r="O15" i="2"/>
  <c r="O27" i="2"/>
  <c r="R58" i="2" l="1"/>
  <c r="S58" i="2" s="1"/>
  <c r="T58" i="2"/>
  <c r="U58" i="2" s="1"/>
  <c r="V58" i="2" s="1"/>
  <c r="Q55" i="2"/>
  <c r="Q53" i="2"/>
  <c r="Q52" i="2"/>
  <c r="Q51" i="2"/>
  <c r="Q50" i="2"/>
  <c r="Q69" i="2"/>
  <c r="Q68" i="2"/>
  <c r="Q67" i="2"/>
  <c r="Q71" i="2"/>
  <c r="Q70" i="2"/>
  <c r="Q66" i="2"/>
  <c r="Q54" i="2"/>
  <c r="Q43" i="2"/>
  <c r="Q47" i="2"/>
  <c r="Q45" i="2"/>
  <c r="Q44" i="2"/>
  <c r="Q46" i="2"/>
  <c r="T42" i="2" l="1"/>
  <c r="U42" i="2" s="1"/>
  <c r="V42" i="2" s="1"/>
  <c r="R50" i="2"/>
  <c r="S50" i="2" s="1"/>
  <c r="R66" i="2"/>
  <c r="S66" i="2" s="1"/>
  <c r="R42" i="2"/>
  <c r="S42" i="2" s="1"/>
  <c r="T50" i="2"/>
  <c r="U50" i="2" s="1"/>
  <c r="V50" i="2" s="1"/>
  <c r="T66" i="2"/>
  <c r="U66" i="2" s="1"/>
  <c r="V66" i="2" s="1"/>
  <c r="Q38" i="2" l="1"/>
  <c r="Q36" i="2"/>
  <c r="R34" i="2" s="1"/>
  <c r="S34" i="2" s="1"/>
  <c r="T34" i="2" l="1"/>
  <c r="U34" i="2" s="1"/>
  <c r="V3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 authorId="0" shapeId="0" xr:uid="{D2DF8F7E-8F60-C946-A6AD-D5E98D887B67}">
      <text>
        <r>
          <rPr>
            <sz val="9"/>
            <color rgb="FF000000"/>
            <rFont val="Arial"/>
            <family val="34"/>
          </rPr>
          <t>Number of rate constant collected</t>
        </r>
      </text>
    </comment>
    <comment ref="C1" authorId="0" shapeId="0" xr:uid="{28CF727D-505A-124A-BE5B-A699C2C85371}">
      <text>
        <r>
          <rPr>
            <sz val="9"/>
            <color rgb="FF000000"/>
            <rFont val="Arial"/>
            <family val="34"/>
          </rPr>
          <t>Reported second order reaction rate constant for the reaction between permanganate (MnO4-) and the organic compound listed in the column to the left. All are reported in units of (1/Ms)</t>
        </r>
      </text>
    </comment>
    <comment ref="E1" authorId="0" shapeId="0" xr:uid="{0825480F-6BAE-1545-9B98-805088BE9728}">
      <text>
        <r>
          <rPr>
            <sz val="9"/>
            <color rgb="FF000000"/>
            <rFont val="Arial"/>
            <family val="34"/>
          </rPr>
          <t>Reported uncertainty for the reported rate constant given in units of (1/Ms) OR uncertainty calculated from the 95% confidence interval of reported pseudo first order rate constants using relative percent error. When no measure of uncertainty was reported, the cell is left blank.</t>
        </r>
      </text>
    </comment>
    <comment ref="F1" authorId="0" shapeId="0" xr:uid="{A740F308-EE45-EE4C-BB99-70A8E9338620}">
      <text>
        <r>
          <rPr>
            <sz val="9"/>
            <color rgb="FF000000"/>
            <rFont val="Arial"/>
            <family val="34"/>
          </rPr>
          <t>pH reported by the authors. If experiments were performed in high purity water and no pH was reported, the pH is reported as ~5.6, which is the pH of high purity water in equilibrium with atmospheric CO2.</t>
        </r>
      </text>
    </comment>
    <comment ref="G1" authorId="0" shapeId="0" xr:uid="{016BCDE0-BB6A-024C-9645-C0210F0A00A8}">
      <text>
        <r>
          <rPr>
            <sz val="9"/>
            <color rgb="FF000000"/>
            <rFont val="Arial"/>
            <family val="34"/>
          </rPr>
          <t>Temperature in degrees Celsius as reported by the authors. "?" is given if no temperature was provided in the published work.</t>
        </r>
      </text>
    </comment>
    <comment ref="H1" authorId="0" shapeId="0" xr:uid="{25750204-323F-4245-847A-BDD894314BD3}">
      <text>
        <r>
          <rPr>
            <sz val="9"/>
            <color rgb="FF000000"/>
            <rFont val="Arial"/>
            <family val="34"/>
          </rPr>
          <t>Background solution conditions, including ionic strength, buffer concentration, and buffer type depending on what the authors reported.</t>
        </r>
      </text>
    </comment>
    <comment ref="J1" authorId="0" shapeId="0" xr:uid="{B337B72C-387A-6649-B4C2-684E58C4ABC5}">
      <text>
        <r>
          <rPr>
            <sz val="9"/>
            <color rgb="FF000000"/>
            <rFont val="Arial"/>
            <family val="34"/>
          </rPr>
          <t>Which reagent was in excess (organic compound or permanganate)</t>
        </r>
      </text>
    </comment>
    <comment ref="K1" authorId="0" shapeId="0" xr:uid="{261A1279-BFBC-EB41-A78C-BE608C084674}">
      <text>
        <r>
          <rPr>
            <sz val="9"/>
            <color rgb="FF000000"/>
            <rFont val="Arial"/>
            <family val="34"/>
          </rPr>
          <t>Ratio of excess reagent:monitored reagent</t>
        </r>
      </text>
    </comment>
    <comment ref="L1" authorId="0" shapeId="0" xr:uid="{34BF28AF-1CFB-CA40-BDC3-50A64E7DEA71}">
      <text>
        <r>
          <rPr>
            <sz val="9"/>
            <color rgb="FF000000"/>
            <rFont val="Arial"/>
            <family val="34"/>
          </rPr>
          <t>Concentration (M) of excess reagent.</t>
        </r>
      </text>
    </comment>
    <comment ref="M1" authorId="0" shapeId="0" xr:uid="{1974B5DF-2335-914F-9DC0-1E81AD35546C}">
      <text>
        <r>
          <rPr>
            <sz val="9"/>
            <color rgb="FF000000"/>
            <rFont val="Arial"/>
            <family val="34"/>
          </rPr>
          <t>Paper number.</t>
        </r>
      </text>
    </comment>
    <comment ref="N324" authorId="0" shapeId="0" xr:uid="{D38B3BC8-C364-2541-A60A-2935F403A20D}">
      <text>
        <r>
          <rPr>
            <sz val="10"/>
            <color rgb="FF000000"/>
            <rFont val="Tahoma"/>
            <family val="2"/>
          </rPr>
          <t>Enhancement effect of phosphate documented</t>
        </r>
      </text>
    </comment>
  </commentList>
</comments>
</file>

<file path=xl/sharedStrings.xml><?xml version="1.0" encoding="utf-8"?>
<sst xmlns="http://schemas.openxmlformats.org/spreadsheetml/2006/main" count="3810" uniqueCount="1415">
  <si>
    <t>Compound</t>
  </si>
  <si>
    <t>k (M-1 s-1)</t>
  </si>
  <si>
    <t>Uncertainty (M-1 s-1)</t>
  </si>
  <si>
    <t>pH</t>
  </si>
  <si>
    <t>Temp (°C)</t>
  </si>
  <si>
    <t>Full Reference</t>
  </si>
  <si>
    <t>1-methylnaphthalene</t>
  </si>
  <si>
    <t>Forsey SP. 2004. In Situ Chemical Oxidation of Creosote/Coal Tar Residuals Experimental and Numerical Investigation. University of Waterloo</t>
  </si>
  <si>
    <t>1,1-dichloroethene (1,1-DCE)</t>
  </si>
  <si>
    <t>7-7.1</t>
  </si>
  <si>
    <t>Yan YE, Schwartz FW. 1999. Oxidative degradation and kinetics of chlorinated ethylenes by potassium permanganate. Journal of Contaminant Hydrology 37(3-4):343-365; Huang KC et al. 2001. Oxidation of chlorinated ethenes by potassium permanganate: a kinetics study. Journal of Hazardous Materials 87(1-3):155-69</t>
  </si>
  <si>
    <t>1,2-dimethylbenzene (o-xylene)</t>
  </si>
  <si>
    <t>Rudakov ES, Lobachev VL, Vajchuk EV. 1996. Kinetics kinetic isotope effects and substrate selectivity of alkyl benzole oxidation in permangonate aqueous solutions. 4. Activation parameters of reactions with MnO4 anions. Kinetics and Catalysis 37:180-183</t>
  </si>
  <si>
    <t>1,2,4-trimethylbenzene (pseudocumene)</t>
  </si>
  <si>
    <t>1,3-dimethylbenzene (m-xylene)</t>
  </si>
  <si>
    <t>1,3,5-trimethylbenzene (mesitylene)</t>
  </si>
  <si>
    <t>1,4-dimethylbenzene (p-xylene)</t>
  </si>
  <si>
    <t>2-amine benzodiazol</t>
  </si>
  <si>
    <t>Laszakovits JR, MacKay AA. 2019. Removal of cyanotoxins by potassium permanganate: Incorporating competition from natural water constituents. Water Research 155:86-95</t>
  </si>
  <si>
    <t>2-bromophenol</t>
  </si>
  <si>
    <t>Jiang J et al. 2014. Oxidation of bromophenols and formation of brominated polymeric products of concern during water treatment with potassium permanganate. Environmental Science &amp; Technology 48(18):10850-8; Li J et al. 2018. Transformation of Methylparaben by aqueous permanganate in the presence of iodide. Water Research 135:75-84</t>
  </si>
  <si>
    <t>2-chlorophenol</t>
  </si>
  <si>
    <t>5.3-7</t>
  </si>
  <si>
    <t>19 to 25</t>
  </si>
  <si>
    <t>Du J et al. 2012. Parabola-like shaped pH-rate profile for phenols oxidation by aqueous permanganate. Environmental Science &amp; Technology 46(16):8860-7; He D et al. 2010. Influence of humic acids of different origins on oxidation of phenol and chlorophenols by permanganate. Journal of Hazardous Materials 182(1-3):681-688; Hossain SMG, McLaughlan RG. 2012. Oxidation of Chlorophenols in Aqueous Solution by Excess Potassium Permanganate. Water, Air, &amp; Soil Pollution 223(3):1429-1435</t>
  </si>
  <si>
    <t>Waldemer RH, Tratnyek PG. 2006. Kinetics of contaminant degradation by permanganate. Environmental Science &amp; Technology 40(3):1055-61</t>
  </si>
  <si>
    <t>2-methylnaphthalene</t>
  </si>
  <si>
    <t>2-methylphenol (o-cresol)</t>
  </si>
  <si>
    <t>Li J et al. 2018. Transformation of Methylparaben by aqueous permanganate in the presence of iodide. Water Research 135:75-84</t>
  </si>
  <si>
    <t>2-nitrophenol</t>
  </si>
  <si>
    <t>6.8-7</t>
  </si>
  <si>
    <t>25 to 35</t>
  </si>
  <si>
    <t>Waldemer RH, Tratnyek PG. 2006. Kinetics of contaminant degradation by permanganate. Environmental Science &amp; Technology 40(3):1055-61; Radhakrishnamurti PS, Sahu SN. 1976. Kinetics and Mechanism of Oxidation of Nitrophenols and Nitroanilines by Potassium Permanganate. Journal of the Indian Chemical Society 53:1154-1155</t>
  </si>
  <si>
    <t>2-pentenoate (anion)</t>
  </si>
  <si>
    <t>Wiberg KB, Geer RD. 1966. The Kinetics of the Permanganate Oxidation of Alkenes. Journal of the American Chemical Society 88(24):5827-5832</t>
  </si>
  <si>
    <t>2,3-dichloropropene</t>
  </si>
  <si>
    <t>2,4-dibromophenol</t>
  </si>
  <si>
    <t>Jiang J et al. 2014. Oxidation of bromophenols and formation of brominated polymeric products of concern during water treatment with potassium permanganate. Environmental Science &amp; Technology 48(18):10850-8</t>
  </si>
  <si>
    <t>2,4-dichlorophenol</t>
  </si>
  <si>
    <t>23 to 25</t>
  </si>
  <si>
    <t>Jiang J, Pang SY, Ma J. 2009. Oxidation of Triclosan by Permanganate (Mn(VII)): Importance of Ligands and In Situ Formed Manganese Oxides. Environmental Science &amp; Technology 43:8326-8331; Du J et al. 2012. Parabola-like shaped pH-rate profile for phenols oxidation by aqueous permanganate. Environmental Science &amp; Technology 46(16):8860-7</t>
  </si>
  <si>
    <t>Hossain SMG, McLaughlan RG. 2012. Oxidation of Chlorophenols in Aqueous Solution by Excess Potassium Permanganate. Water, Air, &amp; Soil Pollution 223(3):1429-1435</t>
  </si>
  <si>
    <t>2,4-dinitrophenol</t>
  </si>
  <si>
    <t>2,4,6-trichlorophenol</t>
  </si>
  <si>
    <t>2,4,6-trimethylphenol</t>
  </si>
  <si>
    <t>This work (Laszakovits et al. 2022)</t>
  </si>
  <si>
    <t>2,4,6-trinitrotoluene (TNT)</t>
  </si>
  <si>
    <t>Chokejaroenrat C et al. 2011. Transformation of hexahydro-1,3,5-trinitro-1,3,5-triazine (RDX) by permanganate. Environmental Science &amp; Technology 45(8):3643-9</t>
  </si>
  <si>
    <t>2,6-dibromophenol</t>
  </si>
  <si>
    <t>2,6-dichlorophenol</t>
  </si>
  <si>
    <t>7-7.2</t>
  </si>
  <si>
    <t>16 and 25</t>
  </si>
  <si>
    <t>Du J et al. 2012. Parabola-like shaped pH-rate profile for phenols oxidation by aqueous permanganate. Environmental Science &amp; Technology 46(16):8860-7; Zhang J, Li GB, Ma J. 2003. Effects of chlorine content and position of chlorinated phenols on their oxidation kinetics by potassium permanganate. Journal of Environmental Sciences 15(3):342-345</t>
  </si>
  <si>
    <t>Zhang J et al. 2022. Studies on the degradation of trace phenol and indole odorants by chlorine and permanganate in drinking water treatment. Chemosphere 286(1):131551</t>
  </si>
  <si>
    <t>3-aminophenol</t>
  </si>
  <si>
    <t>3-bromocinnamate (anion)</t>
  </si>
  <si>
    <t>Lee DG, Nagarajan K. 1985. Oxidation of hydrocarbons. 13. The oxidation of cinnamate ion by alkaline permanganate. Canadian Journal of Chemistry 63:1018-1023</t>
  </si>
  <si>
    <t>3-bromophenol</t>
  </si>
  <si>
    <t>3-chlorocinnamate (anion)</t>
  </si>
  <si>
    <t>3-chlorophenol</t>
  </si>
  <si>
    <t>3-hydroxybenzyl alcohol</t>
  </si>
  <si>
    <t>3-methoxycinnamate (anion)</t>
  </si>
  <si>
    <t>3-methylindole</t>
  </si>
  <si>
    <t>3-methylphenol (m-cresol)</t>
  </si>
  <si>
    <t>3-nitrocinnamate (anion)</t>
  </si>
  <si>
    <t>3-pentenoate (anion)</t>
  </si>
  <si>
    <t>3-trifluoromethylcinnamate (anion)</t>
  </si>
  <si>
    <t>4-bromocrotonate (anion)</t>
  </si>
  <si>
    <t>4-bromophenol</t>
  </si>
  <si>
    <t>4-chlorocinnamate (anion)</t>
  </si>
  <si>
    <t>4-chlorophenol</t>
  </si>
  <si>
    <t>4-ethylphenol</t>
  </si>
  <si>
    <t>4-hydroxybenzoic acid</t>
  </si>
  <si>
    <t>4-methoxycinnamate (anion)</t>
  </si>
  <si>
    <t>4-methylcinnamate (anion)</t>
  </si>
  <si>
    <t>4-methylphenol (p-cresol)</t>
  </si>
  <si>
    <t>4-n-nonylphenol</t>
  </si>
  <si>
    <t>Jiang J, Pang SY, Ma J, Liu H. 2012. Oxidation of phenolic endocrine disrupting chemicals by potassium permanganate in synthetic and real waters. Environmental Science &amp; Technology 46(3):1774-81; Li J et al. 2018. Transformation of Methylparaben by aqueous permanganate in the presence of iodide. Water Research 135:75-84</t>
  </si>
  <si>
    <t>4-nitrocinnamate (anion)</t>
  </si>
  <si>
    <t>4-nitrophenol</t>
  </si>
  <si>
    <t>5.3-6.8</t>
  </si>
  <si>
    <t>23 and 35</t>
  </si>
  <si>
    <t>Radhakrishnamurti PS, Sahu SN. 1976. Kinetics and Mechanism of Oxidation of Nitrophenols and Nitroanilines by Potassium Permanganate. Journal of the Indian Chemical Society 53:1154-1155; This work (Laszakovits et al. 2022)</t>
  </si>
  <si>
    <t>4-nitrotoluene</t>
  </si>
  <si>
    <t>unknown</t>
  </si>
  <si>
    <t>Klajman K et al. 2017. Resolving Discrepancy between Theory and Experiment in 4-Nitrotoluene Oxidation. Journal of Physical Chemistry A 121(35):6638-6645</t>
  </si>
  <si>
    <t>4-pentenoate (anion)</t>
  </si>
  <si>
    <t>acetylenedicarboxylic acid (dianion)</t>
  </si>
  <si>
    <t>Simandi LI, Jaky M. 1972. Mechanism of the Permanganate Oxidation of Unsaturated Compounds. Part II. Stopped-flow Kinetic Study of the Oxidation of Acetylenedicarboxylic Acid. Journal of the Chemical Society, Perkin Transactions 2:2326-2330</t>
  </si>
  <si>
    <t>acrylate (anion)</t>
  </si>
  <si>
    <t>aldicarb</t>
  </si>
  <si>
    <t>anatoxin-a</t>
  </si>
  <si>
    <t>Rodriguez E et al. 2007. Oxidative elimination of cyanotoxins: comparison of ozone, chlorine, chlorine dioxide and permanganate. Water Research 41(15):3381-93</t>
  </si>
  <si>
    <t>atenolol</t>
  </si>
  <si>
    <t>Gibson SN. 2010. Oxidation of pharmaceuticals and personal care products by permanganate. Georgia Institute of Technology</t>
  </si>
  <si>
    <t>atrazine</t>
  </si>
  <si>
    <t>bacitracin</t>
  </si>
  <si>
    <t>benzene</t>
  </si>
  <si>
    <t>Rudakov ES, Lobachev VL. 2000. The first step of oxidation of alkylbenzenes by permanganates in acidic aqueous solutions. Russian Chemical Bulletin 49(5):761-777</t>
  </si>
  <si>
    <t>benzilic acid</t>
  </si>
  <si>
    <t>Farokhi SA, Nandibewoor ST. 2004. The kinetics and the mechanism of oxidative decarboxylation of benzilic acid by acidic permanganate (stopped-flow technique) - An autocatalytic study. Canadian Journal of Chemistry 82(9):1372-1380</t>
  </si>
  <si>
    <t>bisphenol-A (BPA)</t>
  </si>
  <si>
    <t>Li J et al. 2018. Transformation of Methylparaben by aqueous permanganate in the presence of iodide. Water Research 135:75-84; Jiang J, Pang SY, Ma J. 2010. Role of ligands in permanganate oxidation of organics. Environmental Science &amp; Technology 44(11):4270-5</t>
  </si>
  <si>
    <t>Yang J et al. 2013. Oxidation of bisphenol A by permanganate: reaction kinetics and removal of estrogenic activity. Water Science and Technology 67(8):1867-72</t>
  </si>
  <si>
    <t>bromomaleate (dianion)</t>
  </si>
  <si>
    <t>&gt;4.4</t>
  </si>
  <si>
    <t>Simandi LI et al. 1977. Mechanism of the Permanganate Oxidation of Unsaturated Compounds. Part 8. Kinetics of the Oxidation of Halogenomaleic Acids. Journal of the Chemical Society, Perkin Transactions 2:1794-1798</t>
  </si>
  <si>
    <t>but-2-yne-1,4-diol</t>
  </si>
  <si>
    <t>1-4.9</t>
  </si>
  <si>
    <t>Simandi LI, Jaky M. 1973. Mechanism of the Permanganate Oxidation of Unsaturated Compounds. Part V. Intermediates and Kinetics of the Oxidation of Substituted Propynes. Journal of the Chemical Society, Perkin Transactions 2:1861-1866</t>
  </si>
  <si>
    <t>butan-2-one (MEK)</t>
  </si>
  <si>
    <t>4.8-7</t>
  </si>
  <si>
    <t>caffeine</t>
  </si>
  <si>
    <t>carbadox</t>
  </si>
  <si>
    <t>carbamazepine</t>
  </si>
  <si>
    <t>Gibson SN. 2010. Oxidation of pharmaceuticals and personal care products by permanganate. Georgia Institute of Technology; Jiang J, Pang SY, Ma J. 2010. Role of ligands in permanganate oxidation of organics. Environmental Science &amp; Technology 44(11):4270-5; Hu L et al. 2009. Oxidation of Carbamazepine by Mn(VII) and Fe(VI): Reaction Kinetics and Mechanism. Environmental Science &amp; Technology 43:509-515</t>
  </si>
  <si>
    <t>carbazole</t>
  </si>
  <si>
    <t>cefdinir</t>
  </si>
  <si>
    <t>cephalexin</t>
  </si>
  <si>
    <t>Qian Y et al. 2018. Oxidation of Cefalexin by Permanganate: Reaction Kinetics, Mechanism, and Residual Antibacterial Activity. Molecules 23(8):2015</t>
  </si>
  <si>
    <t>chloromaleate (dianion)</t>
  </si>
  <si>
    <t>&gt;6</t>
  </si>
  <si>
    <t>chlorophene</t>
  </si>
  <si>
    <t>Xu X et al. 2018. Degradation kinetics and transformation products of chlorophene by aqueous permanganate. Water Research 138:293-300</t>
  </si>
  <si>
    <t>chlortetracycline</t>
  </si>
  <si>
    <t>chrysene</t>
  </si>
  <si>
    <t>cinnamate (anion)</t>
  </si>
  <si>
    <t>ciprofloxacin</t>
  </si>
  <si>
    <t>Gibson SN. 2010. Oxidation of pharmaceuticals and personal care products by permanganate. Georgia Institute of Technology; Hu LMH, Strathmann TJ. 2010. Oxidation Kinetics of Antibiotics during Water Treatment with Potassium Permanganate. Environmental Science &amp; Technology 44:6416-6422; Zhou Y et al. 2021. Unrecognized role of humic acid as a reductant in accelerating fluoroquinolones oxidation by aqueous permanganate. Chinese Chemical Letters 33:447</t>
  </si>
  <si>
    <t>cis-dichloroethene (cis-DCE)</t>
  </si>
  <si>
    <t>5.6-7.1</t>
  </si>
  <si>
    <t>20-25</t>
  </si>
  <si>
    <t>Waldemer RH, Tratnyek PG. 2006. Kinetics of contaminant degradation by permanganate. Environmental Science &amp; Technology 40(3):1055-61; Yan YE, Schwartz FW. 1999. Oxidative degradation and kinetics of chlorinated ethylenes by potassium permanganate. Journal of Contaminant Hydrology 37(3-4):343-365; Huang KC et al. 2001. Oxidation of chlorinated ethenes by potassium permanganate: a kinetics study. Journal of Hazardous Materials 87(1-3):155-69; Poulson SR, Naraoka H. 2002. Carbon Isotope Fractionation during Permanganate Oxidation of Chlorinated Ethylenes. Environmental Science &amp; Technology 36:3270-3274</t>
  </si>
  <si>
    <t>colistin</t>
  </si>
  <si>
    <t>continine</t>
  </si>
  <si>
    <t>crotonate (anion)</t>
  </si>
  <si>
    <t>cylindrospermopsin</t>
  </si>
  <si>
    <t>5.6-7</t>
  </si>
  <si>
    <t>20 and 23</t>
  </si>
  <si>
    <t>Laszakovits JR, MacKay AA. 2019. Removal of cyanotoxins by potassium permanganate: Incorporating competition from natural water constituents. Water Research 155:86-95; Rodriguez E et al. 2007. Kinetics of the oxidation of cylindrospermopsin and anatoxin-a with chlorine, monochloramine and permanganate. Water Research 41(9):2048-56</t>
  </si>
  <si>
    <t>demeclocycline</t>
  </si>
  <si>
    <t>dibromomaleate (dianion)</t>
  </si>
  <si>
    <t>&gt;5.4</t>
  </si>
  <si>
    <t>dichloromaleate (dianion)</t>
  </si>
  <si>
    <t>&gt;4.9</t>
  </si>
  <si>
    <t>dichlorvos</t>
  </si>
  <si>
    <t>Waldemer RH, Tratnyek PG. 2006. Kinetics of contaminant degradation by permanganate. Environmental Science &amp; Technology 40(3):1055-61; Liu C et al. 2009. Kinetics and mechanism for degradation of dichlorvos by permanganate in drinking water treatment. Water Research 43(14):3435-42</t>
  </si>
  <si>
    <t>diclofenac</t>
  </si>
  <si>
    <t>Gibson SN. 2010. Oxidation of pharmaceuticals and personal care products by permanganate. Georgia Institute of Technology; Rodriguez-Alvarez T et al. 2013. Oxidation of non-steroidal anti-inflammatory drugs with aqueous permanganate. Water Research 47(9):3220-30; Cheng H et al. 2015. Permanganate oxidation of diclofenac: The pH-dependent reaction kinetics and a ring-opening mechanism. Chemosphere 136:297-304</t>
  </si>
  <si>
    <t>dilantin</t>
  </si>
  <si>
    <t>dimethylmaleate (dianion)</t>
  </si>
  <si>
    <t>&gt;6.3</t>
  </si>
  <si>
    <t>Jaky M, Simandi LI. 1976. Mechanism of the Permanganate Oxidation of Unsaturated Compounds. Part VI. Kinetic Investigation of the Oxidation of Methylmaleic Acid, Methylfumaric Acid, and Dimethylmaleic Acid. Journal of the Chemical Society, Perkin Transactions 2:939-943</t>
  </si>
  <si>
    <t>enrofloxacin</t>
  </si>
  <si>
    <t>21 and 25</t>
  </si>
  <si>
    <t>Xu Y et al. 2016. Evaluation of the oxidation of enrofloxacin by permanganate and the antimicrobial activity of the products. Chemosphere 144:113-21; Zhou Y et al. 2021. Unrecognized role of humic acid as a reductant in accelerating fluoroquinolones oxidation by aqueous permanganate. Chinese Chemical Letters 33:447</t>
  </si>
  <si>
    <t>erythromycin</t>
  </si>
  <si>
    <t>ethanol</t>
  </si>
  <si>
    <t>4.6-7.8</t>
  </si>
  <si>
    <t>Mahmoodlu MG et al. 2014. Evaluation of the kinetic oxidation of aqueous volatile organic compounds by permanganate. Science of The Total Environment 485-486:755-763</t>
  </si>
  <si>
    <t>ethylbenzene</t>
  </si>
  <si>
    <t>Gardner KA. 1996. Permanganate Oxidations of Aromatic Hydrocarbons in Aqueous and Organic Solution. University of Washington; Forsey SP. 2004. In Situ Chemical Oxidation of Creosote/Coal Tar Residuals Experimental and Numerical Investigation. University of Waterloo</t>
  </si>
  <si>
    <t>fluoranthene</t>
  </si>
  <si>
    <t>fluorene</t>
  </si>
  <si>
    <t>fumarate (dianion)</t>
  </si>
  <si>
    <t>&gt;4</t>
  </si>
  <si>
    <t>Simandi LI, Jaky M. 1973. Mechanism of the Permanganate Oxidation of Unsaturated Compounds. Part IV. Kinetic Investigation of the Oxidation of Maleic and Fumaric Acids. Journal of the Chemical Society, Perkin Transactions 2:1856-1860</t>
  </si>
  <si>
    <t>gemfibrozil</t>
  </si>
  <si>
    <t>guanine</t>
  </si>
  <si>
    <t>hexahydro-1,3,5-trinitro-1,3,5-triazine (RDX)</t>
  </si>
  <si>
    <t>Chokejaroenrat C et al. 2011. Transformation of hexahydro-1,3,5-trinitro-1,3,5-triazine (RDX) by permanganate. Environmental Science &amp; Technology 45(8):3643-9; Adam ML et al. 2004. Remediating RDX-Contaminated Ground Water with Permanganate: Laboratory Investigations for the Pantex Perched Aquifer. Journal of Environmental Quality 33:2165-2173</t>
  </si>
  <si>
    <t>ibuprofen</t>
  </si>
  <si>
    <t>indomethacin</t>
  </si>
  <si>
    <t>Rodriguez-Alvarez T et al. 2013. Oxidation of non-steroidal anti-inflammatory drugs with aqueous permanganate. Water Research 47(9):3220-30</t>
  </si>
  <si>
    <t>isopropylbenzene (cumene)</t>
  </si>
  <si>
    <t>levofloxacin</t>
  </si>
  <si>
    <t>levonorgestrel</t>
  </si>
  <si>
    <t>Fayad PB et al. 2013. Degradation of progestagens by oxidation with potassium permanganate in wastewater effluents. Chemistry Central Journal 7:84</t>
  </si>
  <si>
    <t>lincomycin</t>
  </si>
  <si>
    <t>Hu LMH, Strathmann TJ. 2010. Oxidation Kinetics of Antibiotics during Water Treatment with Potassium Permanganate. Environmental Science &amp; Technology 44:6416-6422</t>
  </si>
  <si>
    <t>lomefloxacin</t>
  </si>
  <si>
    <t>maleate (dianion)</t>
  </si>
  <si>
    <t>&gt;5</t>
  </si>
  <si>
    <t>medroxyprogesterone</t>
  </si>
  <si>
    <t>methyl tert-butyl ether (MTBE)</t>
  </si>
  <si>
    <t>7-7.6</t>
  </si>
  <si>
    <t>23 and 25</t>
  </si>
  <si>
    <t>Waldemer RH, Tratnyek PG. 2006. Kinetics of contaminant degradation by permanganate. Environmental Science &amp; Technology 40(3):1055-61; Damm JH et al. 2002. Kinetics of the oxidation of methyl tert-butyl ether (MTBE) by potassium permanganate. Water Research 36:3638-3646</t>
  </si>
  <si>
    <t>methylfumarate (dianion)</t>
  </si>
  <si>
    <t>&gt;5.2</t>
  </si>
  <si>
    <t>methylmaleate (dianion)</t>
  </si>
  <si>
    <t>methylparaben</t>
  </si>
  <si>
    <t>microcystin-LA</t>
  </si>
  <si>
    <t>6.8-7.6</t>
  </si>
  <si>
    <t>18-22</t>
  </si>
  <si>
    <t>Ding J et al. 2010. Release and Removal of Microcystins from Microcystis during Oxidative-, Physical-, and UV-Based Disinfection. Journal of Environmental Engineering 136(1):2-11; Kim MS et al. 2018. Oxidation of Microcystins by Permanganate: pH and Temperature-Dependent Kinetics, Effect of DOM Characteristics, and Oxidation Mechanism Revisited. Environmental Science &amp; Technology 52(12):7054-7063; Szlag DC et al. 2019. Permanganate Oxidation of Microcystin-LA: Kinetics, Quantification, and Implications for Effective Drinking Water Treatment. Journal of Toxicology 2019:3231473</t>
  </si>
  <si>
    <t>microcystin-LF</t>
  </si>
  <si>
    <t>7.2-7.6</t>
  </si>
  <si>
    <t>Ding J et al. 2010. Release and Removal of Microcystins from Microcystis during Oxidative-, Physical-, and UV-Based Disinfection. Journal of Environmental Engineering 136(1):2-11; Kim MS et al. 2018. Oxidation of Microcystins by Permanganate: pH and Temperature-Dependent Kinetics, Effect of DOM Characteristics, and Oxidation Mechanism Revisited. Environmental Science &amp; Technology 52(12):7054-7063</t>
  </si>
  <si>
    <t>microcystin-LR</t>
  </si>
  <si>
    <t>5.6-7.6</t>
  </si>
  <si>
    <t>18-23</t>
  </si>
  <si>
    <t>Rodriguez E et al. 2007. Oxidation of microcystins by permanganate: reaction kinetics and implications for water treatment. Water Research 41(1):102-10; Laszakovits JR, MacKay AA. 2019. Removal of cyanotoxins by potassium permanganate: Incorporating competition from natural water constituents. Water Research 155:86-95; Ding J et al. 2010. Release and Removal of Microcystins from Microcystis during Oxidative-, Physical-, and UV-Based Disinfection. Journal of Environmental Engineering 136(1):2-11; Kim MS et al. 2018. Oxidation of Microcystins by Permanganate. Environmental Science &amp; Technology 52(12):7054-7063; Szlag DC et al. 2019. Permanganate Oxidation of Microcystin-LA. Journal of Toxicology 2019:3231473; Jeong B et al. 2017. Elimination of microcystin-LR and residual Mn species using permanganate and powdered activated carbon. Water Research 114:189-199</t>
  </si>
  <si>
    <t>microcystin-LW</t>
  </si>
  <si>
    <t>microcystin-RR</t>
  </si>
  <si>
    <t>6.7-7.6</t>
  </si>
  <si>
    <t>18-25</t>
  </si>
  <si>
    <t>Rodriguez E et al. 2007. Oxidation of microcystins by permanganate: reaction kinetics and implications for water treatment. Water Research 41(1):102-10; Ding J et al. 2010. Release and Removal of Microcystins from Microcystis during Oxidative-, Physical-, and UV-Based Disinfection. Journal of Environmental Engineering 136(1):2-11; Kim MS et al. 2018. Oxidation of Microcystins by Permanganate. Environmental Science &amp; Technology 52(12):7054-7063; Chen X et al. 2005. Kinetics of the oxidation of MCRR by potassium permanganate. Toxicon 45(7):911-917</t>
  </si>
  <si>
    <t>microcystin-YR</t>
  </si>
  <si>
    <t>Rodriguez E et al. 2007. Oxidation of microcystins by permanganate: reaction kinetics and implications for water treatment. Water Research 41(1):102-10; Ding J et al. 2010. Release and Removal of Microcystins from Microcystis during Oxidative-, Physical-, and UV-Based Disinfection. Journal of Environmental Engineering 136(1):2-11; Kim MS et al. 2018. Oxidation of Microcystins by Permanganate. Environmental Science &amp; Technology 52(12):7054-7063</t>
  </si>
  <si>
    <t>monensin</t>
  </si>
  <si>
    <t>naproxen</t>
  </si>
  <si>
    <t>napthalene</t>
  </si>
  <si>
    <t>norethindrone</t>
  </si>
  <si>
    <t>norfloxacin</t>
  </si>
  <si>
    <t>ofloxacin</t>
  </si>
  <si>
    <t>oxytetracycline</t>
  </si>
  <si>
    <t>phenanthrene</t>
  </si>
  <si>
    <t>phenol</t>
  </si>
  <si>
    <t>19-25</t>
  </si>
  <si>
    <t>Jiang J, Pang SY, Ma J. 2009. Oxidation of Triclosan by Permanganate (Mn(VII)): Importance of Ligands and In Situ Formed Manganese Oxides. Environmental Science &amp; Technology 43:8326-8331; Du J et al. 2012. Parabola-like shaped pH-rate profile for phenols oxidation by aqueous permanganate. Environmental Science &amp; Technology 46(16):8860-7; Li J et al. 2018. Transformation of Methylparaben by aqueous permanganate in the presence of iodide. Water Research 135:75-84; He D et al. 2010. Influence of humic acids of different origins on oxidation of phenol and chlorophenols by permanganate. Journal of Hazardous Materials 182(1-3):681-688; He D et al. 2009. Influence of different nominal molecular weight fractions of humic acids on phenol oxidation by permanganate. Environmental Science &amp; Technology 43(21):8332-7</t>
  </si>
  <si>
    <t>Laszakovits JR et al. 2019. Diethyl phenylene diamine (DPD) oxidation to measure low concentration permanganate in environmental systems. Water Research 151:403-412; This work (Laszakovits et al. 2022)</t>
  </si>
  <si>
    <t>phenylpropiolate (anion)</t>
  </si>
  <si>
    <t>Simandi LI, Jaky M. 1977. Mechanism of the Permanganate Oxidation of Unsaturated Compounds. Part 7. Kinetics of the Oxidation of Propiolic and Phenylpropiolic Acids. Journal of the Chemical Society, Perkin Transactions 2:630-633</t>
  </si>
  <si>
    <t>pipemidic acid</t>
  </si>
  <si>
    <t>progesterone</t>
  </si>
  <si>
    <t>propargyl alcohol</t>
  </si>
  <si>
    <t>propiolate (anion)</t>
  </si>
  <si>
    <t>pyrene</t>
  </si>
  <si>
    <t>salbutamol</t>
  </si>
  <si>
    <t>Rodriguez-Alvarez T et al. 2015. Reactivity of beta-blockers/agonists with aqueous permanganate. Kinetics and transformation products of salbutamol. Water Research 79:48-56</t>
  </si>
  <si>
    <t>simetone</t>
  </si>
  <si>
    <t>sulfamethazine</t>
  </si>
  <si>
    <t>sulfamethoxazole</t>
  </si>
  <si>
    <t>tert-amyl methyl ether (TAME)</t>
  </si>
  <si>
    <t>tetrachloroethene (PCE)</t>
  </si>
  <si>
    <t>Waldemer RH, Tratnyek PG. 2006. Kinetics of contaminant degradation by permanganate. Environmental Science &amp; Technology 40(3):1055-61; Yan YE, Schwartz FW. 1999. Oxidative degradation and kinetics of chlorinated ethylenes by potassium permanganate. Journal of Contaminant Hydrology 37(3-4):343-365; Huang KC et al. 2001. Oxidation of chlorinated ethenes by potassium permanganate: a kinetics study. Journal of Hazardous Materials 87(1-3):155-69; Poulson SR, Naraoka H. 2002. Carbon Isotope Fractionation during Permanganate Oxidation of Chlorinated Ethylenes. Environmental Science &amp; Technology 36:3270-3274; Hood ED et al. 2000. Experimental determination of the kinetic rate law for the oxidation of perchloroethylene by potassium permanganate. Chemosphere 40:1383-1388</t>
  </si>
  <si>
    <t>Dai Q, Reitsma S. 2002. Kinetic study of permanganate oxidation of tetrachloroethylene at pH 10.60±0.1. Third International Conference on Remediation of Chlorinated and Recalcitrant compounds</t>
  </si>
  <si>
    <t>tetracycline</t>
  </si>
  <si>
    <t>toluene</t>
  </si>
  <si>
    <t>5.6-11</t>
  </si>
  <si>
    <t>Waldemer RH, Tratnyek PG. 2006. Kinetics of contaminant degradation by permanganate. Environmental Science &amp; Technology 40(3):1055-61; Mahmoodlu MG et al. 2014. Evaluation of the kinetic oxidation of aqueous volatile organic compounds by permanganate. Science of The Total Environment 485-486:755-763; Gardner KA. 1996. Permanganate Oxidations of Aromatic Hydrocarbons in Aqueous and Organic Solution. University of Washington; Forsey SP. 2004. In Situ Chemical Oxidation of Creosote/Coal Tar Residuals. University of Waterloo; Rudakov ES, Lobachev VL, Vajchuk EV. 1996. Kinetics kinetic isotope effects and substrate selectivity of alkyl benzole oxidation. Kinetics and Catalysis 37:180-183</t>
  </si>
  <si>
    <t>trans-dichloroethene (trans-DCE)</t>
  </si>
  <si>
    <t>Waldemer RH, Tratnyek PG. 2006. Kinetics of contaminant degradation by permanganate. Environmental Science &amp; Technology 40(3):1055-61; Yan YE, Schwartz FW. 1999. Oxidative degradation and kinetics of chlorinated ethylenes by potassium permanganate. Journal of Contaminant Hydrology 37(3-4):343-365; Huang KC et al. 2001. Oxidation of chlorinated ethenes by potassium permanganate: a kinetics study. Journal of Hazardous Materials 87(1-3):155-69</t>
  </si>
  <si>
    <t>trichloroethene (TCE)</t>
  </si>
  <si>
    <t>Waldemer RH, Tratnyek PG. 2006. Kinetics of contaminant degradation by permanganate. Environmental Science &amp; Technology 40(3):1055-61; Mahmoodlu MG et al. 2014. Evaluation of the kinetic oxidation of aqueous volatile organic compounds by permanganate. Science of The Total Environment 485-486:755-763; Yan YE, Schwartz FW. 1998. Oxidation of Chlorinated Solvents by Permanganate. First International Conference on Remediation of Chlorinated and Recalcitrant Compounds; Yan YE, Schwartz FW. 2000. Kinetics and Mechanisms for TCE Oxidation by Permanganate. Environmental Science &amp; Technology 34(12):2535-2541; Huang KC et al. 1999. Kinetic Study of Oxidation of Trichloroethylene by Potassium Permanganate. Environmental Engineering Science 16(4):265-274; Hunkeler D et al. 2003. Monitoring Oxidation of Chlorinated Ethenes by Permanganate in Groundwater Using Stable Isotopes. Environmental Science &amp; Technology 37:798-804</t>
  </si>
  <si>
    <t>triclosan</t>
  </si>
  <si>
    <t>Jiang J, Pang SY, Ma J. 2009. Oxidation of Triclosan by Permanganate (Mn(VII)): Importance of Ligands and In Situ Formed Manganese Oxides. Environmental Science &amp; Technology 43:8326-8331; Li J et al. 2018. Transformation of Methylparaben by aqueous permanganate in the presence of iodide. Water Research 135:75-84; Chen J et al. 2016. Oxidative degradation of triclosan by potassium permanganate: Kinetics, degradation products, reaction mechanism, and toxicity evaluation. Water Research 103:215-223</t>
  </si>
  <si>
    <t>trimethoprim</t>
  </si>
  <si>
    <t>vinylacetate (anion)</t>
  </si>
  <si>
    <t>Link</t>
  </si>
  <si>
    <t>https://uwspace.uwaterloo.ca/items/0e166ed1-dc91-4092-9da7-c9c99795e2a2</t>
  </si>
  <si>
    <t>Forsey SP. 2004. In Situ Chemical Oxidation of Creosote/Coal Tar Residuals Experimental and Numerical Investigation. University of Waterloo. Thesis.</t>
  </si>
  <si>
    <t>Data availability</t>
  </si>
  <si>
    <t>Graphs only</t>
  </si>
  <si>
    <t>Error Determination</t>
  </si>
  <si>
    <t xml:space="preserve">Not mentioned how errors for rate constants are determined. </t>
  </si>
  <si>
    <t>Utility</t>
  </si>
  <si>
    <t>Poor</t>
  </si>
  <si>
    <t>Good</t>
  </si>
  <si>
    <t>Graphs only. Could use webplot digistiser? Problem is figures show averages duplicates/triplicates. Second paper is slightly more useful.</t>
  </si>
  <si>
    <t>Temperature_C</t>
  </si>
  <si>
    <t>KMnO4_mM</t>
  </si>
  <si>
    <t>k2_M-1s-1</t>
  </si>
  <si>
    <t>Source</t>
  </si>
  <si>
    <t>Notes</t>
  </si>
  <si>
    <t>PCE</t>
  </si>
  <si>
    <t>Table1</t>
  </si>
  <si>
    <t>duplicate_a</t>
  </si>
  <si>
    <t>duplicate_b</t>
  </si>
  <si>
    <t>Table2</t>
  </si>
  <si>
    <t>TCE</t>
  </si>
  <si>
    <t>different_experiment</t>
  </si>
  <si>
    <t>1,1-DCE</t>
  </si>
  <si>
    <t>cis-DCE</t>
  </si>
  <si>
    <t>trans-DCE</t>
  </si>
  <si>
    <t>ln(k2)</t>
  </si>
  <si>
    <t>mean k2</t>
  </si>
  <si>
    <t>std k2</t>
  </si>
  <si>
    <t>CV %</t>
  </si>
  <si>
    <t>mean lnk2</t>
  </si>
  <si>
    <t>std lnk2</t>
  </si>
  <si>
    <t>lnk2</t>
  </si>
  <si>
    <t>1/T (K)</t>
  </si>
  <si>
    <t>weight</t>
  </si>
  <si>
    <t>Calculate Moments</t>
  </si>
  <si>
    <t>S</t>
  </si>
  <si>
    <t>S_T</t>
  </si>
  <si>
    <t>S_TT</t>
  </si>
  <si>
    <t>S_R</t>
  </si>
  <si>
    <t>S_RR</t>
  </si>
  <si>
    <t>S_TR</t>
  </si>
  <si>
    <t>stat TCE</t>
  </si>
  <si>
    <t>value TCE</t>
  </si>
  <si>
    <t>stat PCE</t>
  </si>
  <si>
    <t>value PCE</t>
  </si>
  <si>
    <t>stat 1,1-DCE</t>
  </si>
  <si>
    <t>value 1,1-DCE</t>
  </si>
  <si>
    <t>stat cis-DCE</t>
  </si>
  <si>
    <t>value cis-DCE</t>
  </si>
  <si>
    <t>stat trans-DCE</t>
  </si>
  <si>
    <t>value trans-DCE</t>
  </si>
  <si>
    <t>Ea/KB</t>
  </si>
  <si>
    <t>Ea</t>
  </si>
  <si>
    <t>chi-squared</t>
  </si>
  <si>
    <t>variance</t>
  </si>
  <si>
    <t>delEa</t>
  </si>
  <si>
    <t>Summary</t>
  </si>
  <si>
    <t>cis- DCE</t>
  </si>
  <si>
    <t>The researchers determined rate constants using the initial rate method with systematic concentration variations: For reaction orders, they varied one reactant while keeping the other in &gt;10-fold excess, then used log-log plots (log rate vs log concentration) where the slope gives the reaction order. Linear regression provided slopes with errors (e.g., α = 1.01 ± 0.02). For the second-order rate constant k, they calculated pseudo-first-order constants (k_obs) from multiple experiments, then plotted log(k_obs) vs log([MnO4-]) to obtain k = 0.67 ± 0.03 M-1 s-1. Errors came from three sources: (1) linear regression standard errors from the slope fits, (2) standard deviations from duplicate/triplicate experiments, and (3) propagation of uncertainty through calculations. The r2 values (0.993-0.998) indicated excellent fits. For the second paper,  The Huang paper is fantastic!</t>
  </si>
  <si>
    <t>k#</t>
  </si>
  <si>
    <t>k (1/Ms)</t>
  </si>
  <si>
    <t>Error (1/Ms)</t>
  </si>
  <si>
    <t>Temp</t>
  </si>
  <si>
    <t>Background</t>
  </si>
  <si>
    <t>Method</t>
  </si>
  <si>
    <t>Which</t>
  </si>
  <si>
    <t>Ratio</t>
  </si>
  <si>
    <t>Conc (M)</t>
  </si>
  <si>
    <t>#</t>
  </si>
  <si>
    <t>Author</t>
  </si>
  <si>
    <t>Year</t>
  </si>
  <si>
    <t>Title</t>
  </si>
  <si>
    <t>Acetone</t>
  </si>
  <si>
    <t>None, Ionic Strength controlled with NaCl, Hydroxide Ion</t>
  </si>
  <si>
    <t>UV-Vis</t>
  </si>
  <si>
    <t>Organic</t>
  </si>
  <si>
    <t>Wiberg &amp; Geer</t>
  </si>
  <si>
    <t>The Kinetics of Permanganate Oxidation of Acetone</t>
  </si>
  <si>
    <t>Acetol</t>
  </si>
  <si>
    <t>Pyruvaldehyde</t>
  </si>
  <si>
    <t>1.25 to 2.53</t>
  </si>
  <si>
    <t>0.0005 to 0.0015</t>
  </si>
  <si>
    <t>Pyruvate (Anion)</t>
  </si>
  <si>
    <t>1.25 to 10.0</t>
  </si>
  <si>
    <t>0.0005 to 0.004</t>
  </si>
  <si>
    <t>Lactate (Anion)</t>
  </si>
  <si>
    <t>10 to 100</t>
  </si>
  <si>
    <t>0.005 to 0.01</t>
  </si>
  <si>
    <t>Allyl alcohol</t>
  </si>
  <si>
    <t>0.2 M Phosphate</t>
  </si>
  <si>
    <t>2.5 to 15</t>
  </si>
  <si>
    <t>0.001 to 0.006</t>
  </si>
  <si>
    <t>The Kinetics of Permanganate Oxidation of Alkenes</t>
  </si>
  <si>
    <t>Acrylate (Anion)</t>
  </si>
  <si>
    <t>0.1 M Hydroxide</t>
  </si>
  <si>
    <t>1 to 6.5</t>
  </si>
  <si>
    <t>0.0004 to 0.0026</t>
  </si>
  <si>
    <t>Crotonate (Anion)</t>
  </si>
  <si>
    <t>Vinylacetate (Anion)</t>
  </si>
  <si>
    <t>0.5 to 20</t>
  </si>
  <si>
    <t>0.0002 to 0.008</t>
  </si>
  <si>
    <t>4-Bromocrotonate (Anion)</t>
  </si>
  <si>
    <t>1 to 5</t>
  </si>
  <si>
    <t>0.0004 to 0.002</t>
  </si>
  <si>
    <t>2-Pentenoate (Anion)</t>
  </si>
  <si>
    <t>5 to 15</t>
  </si>
  <si>
    <t>0.002 to 0.006</t>
  </si>
  <si>
    <t>3-Pentenoate (Anion)</t>
  </si>
  <si>
    <t>1.25 to 7.5</t>
  </si>
  <si>
    <t>0.0005 to 0.003</t>
  </si>
  <si>
    <t>4-Pentenoate (Anion)</t>
  </si>
  <si>
    <t>1.25 to 10</t>
  </si>
  <si>
    <t>0.0005 to 0.0040</t>
  </si>
  <si>
    <t>Cinnamate (Anion)</t>
  </si>
  <si>
    <t>1.25 to 5</t>
  </si>
  <si>
    <t>0.0005 to 0.002</t>
  </si>
  <si>
    <t>4-Methylcinnamate (Anion)</t>
  </si>
  <si>
    <t>2.5 to 10</t>
  </si>
  <si>
    <t>0.001 to 0.004</t>
  </si>
  <si>
    <t>4-Methoxycinnamate (Anion)</t>
  </si>
  <si>
    <t>4-Chlorocinnamate (Anion)</t>
  </si>
  <si>
    <t>Oleate (Anion)</t>
  </si>
  <si>
    <t>0.25 to 100</t>
  </si>
  <si>
    <t>0.0001 to 0.04</t>
  </si>
  <si>
    <t>Cyclohexanol</t>
  </si>
  <si>
    <t>0.2 M Acetate</t>
  </si>
  <si>
    <t>Titration</t>
  </si>
  <si>
    <t>Barter &amp; Littler</t>
  </si>
  <si>
    <t>Hydride Ion Transfer in Oxidations of Alcohols and Ethers</t>
  </si>
  <si>
    <t>Ethanol</t>
  </si>
  <si>
    <t>Dioxan</t>
  </si>
  <si>
    <t>Methanol</t>
  </si>
  <si>
    <t>2-Methoxyethanol</t>
  </si>
  <si>
    <t>Diisopropyl ether</t>
  </si>
  <si>
    <t>Isopropanol</t>
  </si>
  <si>
    <t>Acetylenedicarboxylic Acid (Dianion)</t>
  </si>
  <si>
    <t>Succinate Buffer; 1.5 M Sodium perchlorate</t>
  </si>
  <si>
    <t>Simandi &amp; Jaky</t>
  </si>
  <si>
    <t>Mechanism of the Permanganate Oxidation of Unsaturated Compounds. Part II. Stopped-flow Kinetic Study of the Oxidation of Acetylenedicarboxylic Acid</t>
  </si>
  <si>
    <t>Maleate (Dianion)</t>
  </si>
  <si>
    <t>1.5 M Sodium Perchlorate</t>
  </si>
  <si>
    <t>Organic; derived rate constants for each ionic species</t>
  </si>
  <si>
    <t>N/A</t>
  </si>
  <si>
    <t>Mechanism of the Permanganate Oxidation of Unsaturated Compounds. Part IV. Kinetic Investigation of the Oxidation of Maleic and Fumaric Acids</t>
  </si>
  <si>
    <t>Fumarate (Dianion)</t>
  </si>
  <si>
    <t>Propargyl alcohol</t>
  </si>
  <si>
    <t>1 to 4.9</t>
  </si>
  <si>
    <t>Mechanism of the Permanganate Oxidation of Unsaturated Compounds. Part V. Intermediates and Kinetics of the Oxidation of Substituted Propynes</t>
  </si>
  <si>
    <t>But-2-yne-1,4-diol</t>
  </si>
  <si>
    <t>Propargyl chloride</t>
  </si>
  <si>
    <t>0.1 M Perchloric Acid</t>
  </si>
  <si>
    <t>Propargyl bromide</t>
  </si>
  <si>
    <t>Methylmaleate (Dianion)</t>
  </si>
  <si>
    <t>1.5 M Perchlorate</t>
  </si>
  <si>
    <t>Jaky &amp; Simandi</t>
  </si>
  <si>
    <t>Mechanism of the Permanganate Oxidation of Unsaturated Compounds. Part VI. Kinetic Investigation of the Oxidation of Methylmaleic Acid, Methylfumaric Acid, and Dimethylmaleic Acid</t>
  </si>
  <si>
    <t>Methylfumarate (Dianion)</t>
  </si>
  <si>
    <t>Dimethylmaleate (Dianion)</t>
  </si>
  <si>
    <t>4-Nitrophenol</t>
  </si>
  <si>
    <t>Unknown Buffer; 0.02 M KCl for ionic strength</t>
  </si>
  <si>
    <t>Radhakrishnamurti &amp; Sahu</t>
  </si>
  <si>
    <t>Kinetics and Mechanism of Oxidation of Nitrophenols and Nitroanilines by Potassium Permanganate</t>
  </si>
  <si>
    <t>3-Nitrophenol</t>
  </si>
  <si>
    <t>2-Nitrophenol</t>
  </si>
  <si>
    <t>4-Nitroaniline</t>
  </si>
  <si>
    <t>3-Nitroaniline</t>
  </si>
  <si>
    <t>2-Nitroaniline</t>
  </si>
  <si>
    <t>Propiolate (Anion)</t>
  </si>
  <si>
    <t>6.7 to 20</t>
  </si>
  <si>
    <t>0.005 to 0.03</t>
  </si>
  <si>
    <t>Mechanism of the Permanganate Oxidation of Unsaturated Compounds. Part 7. Kinetics of the Oxidation of Propiolic and Phenylpropiolic Acids</t>
  </si>
  <si>
    <t>Phenylpropiolate (Anion)</t>
  </si>
  <si>
    <t>10 to 30</t>
  </si>
  <si>
    <t>0.0025 to 0.015</t>
  </si>
  <si>
    <t>Chloromaleate (Dianion)</t>
  </si>
  <si>
    <t>Simandi et al</t>
  </si>
  <si>
    <t>Mechanism of the Permanganate Oxidation of Unsaturated Compounds. Part 8. Kinetics of the Oxidation of Halogenomaleic Acids</t>
  </si>
  <si>
    <t>Dichloromaleate (Dianion)</t>
  </si>
  <si>
    <t>Bromomaleate (Dianion)</t>
  </si>
  <si>
    <t>Dibromomaleate (Dianion)</t>
  </si>
  <si>
    <t>Uracil</t>
  </si>
  <si>
    <t>0.05 M Phosphate</t>
  </si>
  <si>
    <t>Freeman et al</t>
  </si>
  <si>
    <t>Permanganate Ion Oxidations. 13. Soluble Manganese(IV) Species in the Oxidation of 2,4(1H,3H)-Pyrimidinediones (Uracils)</t>
  </si>
  <si>
    <t>5-Methyluracil (Thymine)</t>
  </si>
  <si>
    <t>6-Methyluracil</t>
  </si>
  <si>
    <t>5-Fluorouracil</t>
  </si>
  <si>
    <t>5-Chlorouracil</t>
  </si>
  <si>
    <t>5-Bromouracil</t>
  </si>
  <si>
    <t>5-Iodouracil</t>
  </si>
  <si>
    <t>5-Acetyluracil</t>
  </si>
  <si>
    <t>5-Nitrouracil</t>
  </si>
  <si>
    <t>Silicate Solution (unknown concentration)</t>
  </si>
  <si>
    <t>Lee &amp; Nagarajan</t>
  </si>
  <si>
    <t>Oxidation of hydrocarbons. 13. The oxidation of cinnamate ion by alkaline permanganate</t>
  </si>
  <si>
    <t>3-Methoxycinnamate (Anion)</t>
  </si>
  <si>
    <t>3-Chlorocinnamate (Anion)</t>
  </si>
  <si>
    <t>3-Bromocinnamate (Anion)</t>
  </si>
  <si>
    <t>0.5 M NaOH</t>
  </si>
  <si>
    <t>3-Trifluoromethylcinnamate (Anion)</t>
  </si>
  <si>
    <t>3-Nitrocinnamate (Anion)</t>
  </si>
  <si>
    <t>4-Nitrocinnamate (Anion)</t>
  </si>
  <si>
    <t>Toluene</t>
  </si>
  <si>
    <t>6 to 11</t>
  </si>
  <si>
    <t>Phosphate and Carbonate (uknown concentrations)</t>
  </si>
  <si>
    <t>Gardner &amp; Mayer</t>
  </si>
  <si>
    <t>Understanding C-H Bond Oxidations: H. and H- Transfer in the Oxidation of Toluene by Permanganate</t>
  </si>
  <si>
    <t>0.008 M Phosphate</t>
  </si>
  <si>
    <t xml:space="preserve">Gardner </t>
  </si>
  <si>
    <t>Permanganate Oxidations of Aromatic Hydrocarbons in Aqueous and Organic Solution</t>
  </si>
  <si>
    <t>Ethylbenzene</t>
  </si>
  <si>
    <t>Isopropylbenzene (Cumene)</t>
  </si>
  <si>
    <t>Phenethylalcohol</t>
  </si>
  <si>
    <t>Benzylalcohol</t>
  </si>
  <si>
    <t>Benzaldehyde</t>
  </si>
  <si>
    <t>Tetrachloroethene (PCE)</t>
  </si>
  <si>
    <t>Site Water</t>
  </si>
  <si>
    <t>GC</t>
  </si>
  <si>
    <t>Permanganate</t>
  </si>
  <si>
    <t>9.67 to 96.7</t>
  </si>
  <si>
    <t>0.00007 to 0.0007</t>
  </si>
  <si>
    <t>Tratnyek et al</t>
  </si>
  <si>
    <t>In Situ Treatment of Organics by Sequential Reduction and Oxidation</t>
  </si>
  <si>
    <t>Trichloroethene (TCE)</t>
  </si>
  <si>
    <t>4 to 8</t>
  </si>
  <si>
    <t>?</t>
  </si>
  <si>
    <t>? Phosphate</t>
  </si>
  <si>
    <t>GC-ECD</t>
  </si>
  <si>
    <t>4.7 to 15</t>
  </si>
  <si>
    <t>0.00037 to 0.0012</t>
  </si>
  <si>
    <t>Yan &amp; Schwartz</t>
  </si>
  <si>
    <t>Oxidation of Chlorinated Solvents by Permanganate</t>
  </si>
  <si>
    <t>trans-Dichloroethene (trans-DCE)</t>
  </si>
  <si>
    <t>Phosphate Buffer (Unknown concentration)</t>
  </si>
  <si>
    <t>&gt;10</t>
  </si>
  <si>
    <t>Oxidative degradation and kinetics of chlorinated ethylenes by potassium permanganate</t>
  </si>
  <si>
    <t>cis-Dichloroethene (cis-DCE)</t>
  </si>
  <si>
    <t>1,1-Dichloroethene (1,1-DCE)</t>
  </si>
  <si>
    <t>Unbuffered</t>
  </si>
  <si>
    <t>GC-ECD-&amp;-FID</t>
  </si>
  <si>
    <t>50 to 650</t>
  </si>
  <si>
    <t>0.032 to 0.2</t>
  </si>
  <si>
    <t>Hood et al</t>
  </si>
  <si>
    <t>Experimental determination of the kinetic rate law for the oxidation of perchloroethylene by potassium permanganate</t>
  </si>
  <si>
    <t>0.1 M Sodium Perchlorate</t>
  </si>
  <si>
    <t>Jaky et al</t>
  </si>
  <si>
    <t>Kinetics and mechanism of the oxidation of ketones with permanganate ions</t>
  </si>
  <si>
    <t>Hydroxyacetone</t>
  </si>
  <si>
    <t>Butan-2-one (MEK)</t>
  </si>
  <si>
    <t>Butane-2,3-dione</t>
  </si>
  <si>
    <t>Benzene</t>
  </si>
  <si>
    <t>5 to 7</t>
  </si>
  <si>
    <t>0.5 M Perchlorate</t>
  </si>
  <si>
    <t>Rudakov &amp; Lobachev</t>
  </si>
  <si>
    <t>The first step of oxidation of alkylbenzenes by permanganates in acidic aqueous solutions</t>
  </si>
  <si>
    <t>Rudakov et al</t>
  </si>
  <si>
    <t>Kinetics kinetic isotope effects and substrate selectivity of alkyl benzole oxidation in permangonate aqueous solutions. 4.Activation parameters of reactions with MnO4 anions</t>
  </si>
  <si>
    <t>1,2-Dimethylbenzene (o-Xylene)</t>
  </si>
  <si>
    <t>1,3-Dimethylbenzene (m-Xylene)</t>
  </si>
  <si>
    <t>1,4-Dimethylbenzene (p-Xylene)</t>
  </si>
  <si>
    <t>1,3,5-Trimethylbenzene (Mesitylene)</t>
  </si>
  <si>
    <t>1,2,4-Trimethylbenzene (Pseudocumene)</t>
  </si>
  <si>
    <t>Kinetics and Mechanisms for TCE Oxidation by Permanganate</t>
  </si>
  <si>
    <t>GC-FID</t>
  </si>
  <si>
    <t>12.3 to 48.5</t>
  </si>
  <si>
    <t>0.0016 to 0.0063</t>
  </si>
  <si>
    <t>Huang et al</t>
  </si>
  <si>
    <t>Oxidation of chlorinated ethenes by potassium permanganate: a kinetics study</t>
  </si>
  <si>
    <t>16 to 52.5</t>
  </si>
  <si>
    <t>11.4 to 22.8</t>
  </si>
  <si>
    <t>0.0008 to 0.0032</t>
  </si>
  <si>
    <t>11.4 to 29</t>
  </si>
  <si>
    <t>16 to 29</t>
  </si>
  <si>
    <t>Methyl tert-butyl ether (MTBE)</t>
  </si>
  <si>
    <t>0.015 M Phosphate</t>
  </si>
  <si>
    <t>4.9 to 34</t>
  </si>
  <si>
    <t>0.007 to 0.047</t>
  </si>
  <si>
    <t>Damm et al</t>
  </si>
  <si>
    <t>Kinetics of the oxidation of methyl tert-butyl ether (MTBE) by potassium permanganate</t>
  </si>
  <si>
    <t>GC-MS</t>
  </si>
  <si>
    <t>9.3 &amp; 30</t>
  </si>
  <si>
    <t>0.0028 &amp; 0.0092</t>
  </si>
  <si>
    <t>Poulson &amp; Naraoka</t>
  </si>
  <si>
    <t>Carbon Isotope Fractionation during Permanganate Oxidation of Chlorinated Ethylenes (cDCE, TCE, PCE)</t>
  </si>
  <si>
    <t>2.6 &amp; 4</t>
  </si>
  <si>
    <t>0.00098 &amp; 0.0015</t>
  </si>
  <si>
    <t>Phenol</t>
  </si>
  <si>
    <t>Unbuffered, pH adjusted with Sulfuric Acid and Sodium Hydroxide</t>
  </si>
  <si>
    <t>GC-?</t>
  </si>
  <si>
    <t>Zhang et al</t>
  </si>
  <si>
    <t>Effects of chlorine content and position of chlorinated phenols on their oxidation kinetics by potassium permanganate</t>
  </si>
  <si>
    <t>4-Chlorophenol</t>
  </si>
  <si>
    <t>2,4-Dichlorophenol</t>
  </si>
  <si>
    <t>2,6-Dichlorophenol</t>
  </si>
  <si>
    <t>Hexahydro-1,3,5-trinitro-1,3,5-triazine (RDX)</t>
  </si>
  <si>
    <t>8 to 9</t>
  </si>
  <si>
    <t>0.01 M Phosphate</t>
  </si>
  <si>
    <t>LC-UV</t>
  </si>
  <si>
    <t>Adam et al</t>
  </si>
  <si>
    <t>Remediating RDX-Contaminated Ground Water with Permanganate: Laboratory Investigations for the Pantex Perched Aquifer</t>
  </si>
  <si>
    <t>Benzilic acid</t>
  </si>
  <si>
    <t>0.005 M Perchlorate</t>
  </si>
  <si>
    <t>2 to 20</t>
  </si>
  <si>
    <t>0.0004 to 0.004</t>
  </si>
  <si>
    <t>Farokhi &amp; Nandibewoor</t>
  </si>
  <si>
    <t>The kinetics and the mechanism of oxidative decarboxylation of benzilic acid by acidic permanganate (stopped-flow technique) - An autocatalytic study</t>
  </si>
  <si>
    <t>Chrysene</t>
  </si>
  <si>
    <t>23156 to 54030</t>
  </si>
  <si>
    <t>0.013 to 0.03</t>
  </si>
  <si>
    <t>Forsey</t>
  </si>
  <si>
    <t>In Situ Chemical Oxidation of Creosote/Coal Tar Residuals Experimental and Numerical Investigation</t>
  </si>
  <si>
    <t>Napthalene</t>
  </si>
  <si>
    <t>1527 to 10156</t>
  </si>
  <si>
    <t>0.009 to 0.06</t>
  </si>
  <si>
    <t>Phenanthrene</t>
  </si>
  <si>
    <t>1308 to 3556</t>
  </si>
  <si>
    <t>0.003 to 0.01</t>
  </si>
  <si>
    <t>Fluoranthene</t>
  </si>
  <si>
    <t>530 to 11724</t>
  </si>
  <si>
    <t>0.0006 to 0.013</t>
  </si>
  <si>
    <t>Pyrene</t>
  </si>
  <si>
    <t>8097 to 22302</t>
  </si>
  <si>
    <t>0.003 to 0.009</t>
  </si>
  <si>
    <t>927 to 1920</t>
  </si>
  <si>
    <t>0.044 to 0.09</t>
  </si>
  <si>
    <t>940 to 1948</t>
  </si>
  <si>
    <t>981 to 2033</t>
  </si>
  <si>
    <t>1-Methylnaphthalene</t>
  </si>
  <si>
    <t>1963 to 13052</t>
  </si>
  <si>
    <t>2-Methylnaphthalene</t>
  </si>
  <si>
    <t>1775 to 11800</t>
  </si>
  <si>
    <t>Acenaphthene</t>
  </si>
  <si>
    <t>2203 to 14688</t>
  </si>
  <si>
    <t>Fluorene</t>
  </si>
  <si>
    <t>1186 to 3225</t>
  </si>
  <si>
    <t>0.004 to 0.01</t>
  </si>
  <si>
    <t>Carbazole</t>
  </si>
  <si>
    <t>1279 to 3478</t>
  </si>
  <si>
    <t>No reaction (Estimate &lt;1.6E-4)</t>
  </si>
  <si>
    <t>843 to 1763</t>
  </si>
  <si>
    <t>Tert-Butylbenzene</t>
  </si>
  <si>
    <t>1081 to 2238</t>
  </si>
  <si>
    <t>Biphenyl</t>
  </si>
  <si>
    <t>No reaction (Estimate &lt;1.5E-4)</t>
  </si>
  <si>
    <t>7589 to 22321</t>
  </si>
  <si>
    <t>0.03 to 0.09</t>
  </si>
  <si>
    <t>Dibenzofuran</t>
  </si>
  <si>
    <t>8167 to 24020</t>
  </si>
  <si>
    <t>Microcystin-RR</t>
  </si>
  <si>
    <t>7.5 to 23.3</t>
  </si>
  <si>
    <t>0.000032 to 0.000064</t>
  </si>
  <si>
    <t>Chen et al</t>
  </si>
  <si>
    <t>Kinetics of the oxidation of MCRR by potassium permanganate</t>
  </si>
  <si>
    <t>Acetylacetone</t>
  </si>
  <si>
    <t>2M Perchlorate</t>
  </si>
  <si>
    <t>Kinetics and mechanism of the oxidation of acetylacetone by permanganate ion</t>
  </si>
  <si>
    <t>Chloroform</t>
  </si>
  <si>
    <t>0.1 M Phosphate</t>
  </si>
  <si>
    <t>300 to 500</t>
  </si>
  <si>
    <t>0.03 to 0.05</t>
  </si>
  <si>
    <t>Waldemer &amp; Tratnyek</t>
  </si>
  <si>
    <t>Kinetics of contaminant degradation by permanganate</t>
  </si>
  <si>
    <t>10 to 40</t>
  </si>
  <si>
    <t>0.003 to 0.012</t>
  </si>
  <si>
    <t>1,4-Dioxane</t>
  </si>
  <si>
    <t>500 to 3000</t>
  </si>
  <si>
    <t>0.05 to 0.3</t>
  </si>
  <si>
    <t>100 to 500</t>
  </si>
  <si>
    <t>0.01 to 0.05</t>
  </si>
  <si>
    <t>0.05 &amp; 0.1 M Phosphate</t>
  </si>
  <si>
    <t>500 &amp; 1000</t>
  </si>
  <si>
    <t>Tert-amyl methyl ether (TAME)</t>
  </si>
  <si>
    <t>300 &amp; 500</t>
  </si>
  <si>
    <t>0.03 &amp; 0.05</t>
  </si>
  <si>
    <t>2,4-Dinitrophenol</t>
  </si>
  <si>
    <t>5 &amp; 10</t>
  </si>
  <si>
    <t>0.0005 &amp; 0.001</t>
  </si>
  <si>
    <t>2,4,6-Trinitrophenol (TNP, Picric acid)</t>
  </si>
  <si>
    <t>2,4,6-Trinitrotoluene (TNT)</t>
  </si>
  <si>
    <t>5 to 25</t>
  </si>
  <si>
    <t>0.0001 to 0.0005</t>
  </si>
  <si>
    <t>20 to 40</t>
  </si>
  <si>
    <t>0.002 to 0.004</t>
  </si>
  <si>
    <t>2,3-Dichloropropene</t>
  </si>
  <si>
    <t>0.001 to 0.003</t>
  </si>
  <si>
    <t>2-Chlorophenol</t>
  </si>
  <si>
    <t>7.5 to 12.5</t>
  </si>
  <si>
    <t>0.00075 to 0.00125</t>
  </si>
  <si>
    <t>3-Chlorophenol</t>
  </si>
  <si>
    <t>10 to 60</t>
  </si>
  <si>
    <t>2,4,6-Trichlorophenol</t>
  </si>
  <si>
    <t>3-Methylphenol (m-Cresol)</t>
  </si>
  <si>
    <t>4-Methylphenol (p-Cresol)</t>
  </si>
  <si>
    <t>10 to 20</t>
  </si>
  <si>
    <t>0.001 to 0.002</t>
  </si>
  <si>
    <t>Dichlorvos</t>
  </si>
  <si>
    <t>Aldicarb</t>
  </si>
  <si>
    <t>Microcystin-LR</t>
  </si>
  <si>
    <t>12 to 25</t>
  </si>
  <si>
    <t>0.000029 to 0.000061</t>
  </si>
  <si>
    <t>Rodriguez et al</t>
  </si>
  <si>
    <t>Oxidation of microcystins by permanganate: reaction kinetics and implications for water treatment</t>
  </si>
  <si>
    <t>Competition kinetics</t>
  </si>
  <si>
    <t>Microcystin-YR</t>
  </si>
  <si>
    <t>Sorbic Acid (Anion)</t>
  </si>
  <si>
    <t>15 to 30</t>
  </si>
  <si>
    <t>0.0000378 to 0.0000755</t>
  </si>
  <si>
    <t>Anatoxin-a</t>
  </si>
  <si>
    <t>15 to 50</t>
  </si>
  <si>
    <t>0.000025 to 0.000075</t>
  </si>
  <si>
    <t>Oxidative elimination of cyanotoxins: comparison of ozone, chlorine, chlorine dioxide and permanganate</t>
  </si>
  <si>
    <t>Cylindrospermopsin</t>
  </si>
  <si>
    <t>275 to 1300</t>
  </si>
  <si>
    <t>0.0016 to 0.006</t>
  </si>
  <si>
    <t>Kinetics of the oxidation of cylindrospermopsin and anatoxin-a with chlorine, monochloramine and permanganate</t>
  </si>
  <si>
    <t>Unbuffered, pH controlled but unclear how</t>
  </si>
  <si>
    <t>He et al</t>
  </si>
  <si>
    <t>Influence of Different Nominal Molecular Weight Fractions of Humic Acids on Phenol Oxidation by Permanganate</t>
  </si>
  <si>
    <t>Carbamazepine</t>
  </si>
  <si>
    <t>0.025 M Phosphate</t>
  </si>
  <si>
    <t>0.00005 to 0.00015</t>
  </si>
  <si>
    <t>Hu et al</t>
  </si>
  <si>
    <t>Oxidation of Carbamazepine by Mn(VII) and Fe(VI): Reaction Kinetics and Mechanism</t>
  </si>
  <si>
    <t>Triclosan</t>
  </si>
  <si>
    <t>Unbuffered, pH adjusted with Perchloric Acid and Sodium Hydroxide; 0.01 M Ionic Strength with Perchlorate</t>
  </si>
  <si>
    <t xml:space="preserve">10 to 25 </t>
  </si>
  <si>
    <t>0.00006 to 0.00015</t>
  </si>
  <si>
    <t>Jiang et al</t>
  </si>
  <si>
    <t>Oxidation of Triclosan by Permanganate (Mn(VII)): Importance of Ligands and In Situ Formed Manganese Oxides</t>
  </si>
  <si>
    <t>10 +</t>
  </si>
  <si>
    <t>Liu et al 2009</t>
  </si>
  <si>
    <t>Kinetics and mechanism for degradation of dichlorvos by permanganate in drinking water treatment</t>
  </si>
  <si>
    <t>LC-MS</t>
  </si>
  <si>
    <t>0.000006 to 0.000012</t>
  </si>
  <si>
    <t>Ding et al</t>
  </si>
  <si>
    <t>Release and Removal of Microcystins from Microcystis during Oxidative-, Physical-, and UV-Based Disinfection</t>
  </si>
  <si>
    <t>0.000006 to 0.000013</t>
  </si>
  <si>
    <t>Microcystin-LA</t>
  </si>
  <si>
    <t>0.000006 to 0.000014</t>
  </si>
  <si>
    <t>Microcystin-LF</t>
  </si>
  <si>
    <t>0.000006 to 0.000015</t>
  </si>
  <si>
    <t>Microcystin-LW</t>
  </si>
  <si>
    <t>0.000006 to 0.000016</t>
  </si>
  <si>
    <t>0.000006 to 0.000017</t>
  </si>
  <si>
    <t>Acetaminophen</t>
  </si>
  <si>
    <t>Gibson</t>
  </si>
  <si>
    <t>Oxidation of pharmaceuticals and personal care products by permanganate</t>
  </si>
  <si>
    <t>Cefdinir</t>
  </si>
  <si>
    <t>Bisphenol-A (BPA)</t>
  </si>
  <si>
    <t>Demeclocycline</t>
  </si>
  <si>
    <t>Levofloxacin</t>
  </si>
  <si>
    <t>Tetracycline</t>
  </si>
  <si>
    <t>Oxytetracycline</t>
  </si>
  <si>
    <t>Bacitracin</t>
  </si>
  <si>
    <t>Chlortetracycline</t>
  </si>
  <si>
    <t>Cephalexin</t>
  </si>
  <si>
    <t>Roxithromycin</t>
  </si>
  <si>
    <t>Ofloxacin</t>
  </si>
  <si>
    <t>Trimethoprim</t>
  </si>
  <si>
    <t>Diclofenac</t>
  </si>
  <si>
    <t>Colistin</t>
  </si>
  <si>
    <t>Enrofloxacin</t>
  </si>
  <si>
    <t>Atenolol</t>
  </si>
  <si>
    <t>Erythromycin</t>
  </si>
  <si>
    <t>Ciprofloxacin</t>
  </si>
  <si>
    <t>Sulfamethazine</t>
  </si>
  <si>
    <t>Atrazine</t>
  </si>
  <si>
    <t>Lomefloxacin</t>
  </si>
  <si>
    <t>Flumequine</t>
  </si>
  <si>
    <t>Norfloxacin</t>
  </si>
  <si>
    <t>Naproxen</t>
  </si>
  <si>
    <t>Ibuprofen</t>
  </si>
  <si>
    <t>Continine</t>
  </si>
  <si>
    <t>Gemfibrozil</t>
  </si>
  <si>
    <t>Dilantin</t>
  </si>
  <si>
    <t>Sulfamethoxazole</t>
  </si>
  <si>
    <t>Pipemidic Acid</t>
  </si>
  <si>
    <t>Caffeine</t>
  </si>
  <si>
    <t>Carbadox</t>
  </si>
  <si>
    <t>Monensin</t>
  </si>
  <si>
    <t>Simetone</t>
  </si>
  <si>
    <t>Tris(2-carboxyethyl)phosphine (TCEP)</t>
  </si>
  <si>
    <t>Estimated, &lt;1.8E-3</t>
  </si>
  <si>
    <t>Metoprolol</t>
  </si>
  <si>
    <t>Influence of humic acids of different origins on oxidation of phenol and chlorophenols by permanganate</t>
  </si>
  <si>
    <t>200 to 600</t>
  </si>
  <si>
    <t>0.0002 to 0.0006</t>
  </si>
  <si>
    <t>Oxidation Kinetics of Antibiotics during Water Treatment with Potassium Permanganate</t>
  </si>
  <si>
    <t>300 to 1000</t>
  </si>
  <si>
    <t>0.0003 to 0.001</t>
  </si>
  <si>
    <t>Lincomycin</t>
  </si>
  <si>
    <t>Unbuffered, pH maintained with perchloric acid and sodium hydroxide</t>
  </si>
  <si>
    <t>Role of Ligands in Permanganate Oxidation of Organics</t>
  </si>
  <si>
    <t>Methyl p-tolyl sulfoxide (TMSO)</t>
  </si>
  <si>
    <t>Estrone (E1)</t>
  </si>
  <si>
    <t>0.001 M Carbonate or Phosphate</t>
  </si>
  <si>
    <t>4 to 32</t>
  </si>
  <si>
    <t>0.0000063 to 0.0000506</t>
  </si>
  <si>
    <t>Shao et al</t>
  </si>
  <si>
    <t>Oxidation of estrone by permanganate: Reaction kinetics and estrogenicity removal</t>
  </si>
  <si>
    <t>Unknown</t>
  </si>
  <si>
    <t>46.6 to 934</t>
  </si>
  <si>
    <t>0.004 to 0.084</t>
  </si>
  <si>
    <t>Chokejaroenrat et al</t>
  </si>
  <si>
    <t>Transformation of hexahydro-1,3,5-trinitro-1,3,5-triazine (RDX) by permanganate</t>
  </si>
  <si>
    <t>Unbuffered, pH measured</t>
  </si>
  <si>
    <t>Hossain &amp; McLaughlan</t>
  </si>
  <si>
    <t>Oxidation of Chlorophenols in Aqueous Solution by Excess Potassium Permanganate</t>
  </si>
  <si>
    <t>Unbuffered, pH controlled with HCl and NaOH; 0.03 M NaCl Background</t>
  </si>
  <si>
    <t>Du et al</t>
  </si>
  <si>
    <t>Parabola-like shaped pH-rate profile for phenols oxidation by aqueous permanganate</t>
  </si>
  <si>
    <t>2,3-Dichlorophenol</t>
  </si>
  <si>
    <t>3,4-Dichlorophenol</t>
  </si>
  <si>
    <t>Pentachlorophenol</t>
  </si>
  <si>
    <t>LC-Fluorescence</t>
  </si>
  <si>
    <t>0.0000015 +</t>
  </si>
  <si>
    <t>Oxidation of phenolic endocrine disrupting chemicals by potassium permanganate in synthetic and real waters</t>
  </si>
  <si>
    <t>17B-Estradiol (E2)</t>
  </si>
  <si>
    <t>0.0000015 to 0.00012</t>
  </si>
  <si>
    <t>Estriol (E3)</t>
  </si>
  <si>
    <t>4-n-Nonylphenol</t>
  </si>
  <si>
    <t>5,6,7,8-tetrahydro-2-napthol</t>
  </si>
  <si>
    <t>Perfluorooctanesulfonate (PFOS)</t>
  </si>
  <si>
    <t>Liu et al</t>
  </si>
  <si>
    <t>Oxidative decomposition of perfluorooctanesulfonate in water by permanganate</t>
  </si>
  <si>
    <t>Levonorgestrel</t>
  </si>
  <si>
    <t>LDTD-APCI-MS</t>
  </si>
  <si>
    <t>5.4 to 19.3</t>
  </si>
  <si>
    <t>0.000017 to 0.000053</t>
  </si>
  <si>
    <t>Fayad et al</t>
  </si>
  <si>
    <t>Degradation of progestagens by oxidation with potassium permanganate in wastewater effluents</t>
  </si>
  <si>
    <t>Medroxyprogesterone</t>
  </si>
  <si>
    <t>Norethindrone</t>
  </si>
  <si>
    <t>Progesterone</t>
  </si>
  <si>
    <t>Indomethacin</t>
  </si>
  <si>
    <t>0.051 M Phosphate, 0.28 mM Chloride</t>
  </si>
  <si>
    <t>Rodriguez-Alvarez et al</t>
  </si>
  <si>
    <t>Oxidation of non-steroidal anti-inflammatory drugs with aqueous permanganate</t>
  </si>
  <si>
    <t>0.01 M Acetate</t>
  </si>
  <si>
    <t>Yang et al</t>
  </si>
  <si>
    <t>Oxidation of bisphenol A by permanganate: reaction kinetics and removal of estrogenic activity</t>
  </si>
  <si>
    <t>0.01 M Borate</t>
  </si>
  <si>
    <t>Simultaneous oxidation of phenol and bisphenol A by permanganate: Synergetic or competitive effect</t>
  </si>
  <si>
    <t>2-Bromophenol</t>
  </si>
  <si>
    <t>15 to 40</t>
  </si>
  <si>
    <t>0.000075 to 0.0002</t>
  </si>
  <si>
    <t>Oxidation of bromophenols and formation of brominated polymeric products of concern during water treatment with potassium permanganate</t>
  </si>
  <si>
    <t>3-Bromophenol</t>
  </si>
  <si>
    <t>4-Bromophenol</t>
  </si>
  <si>
    <t>2,4-Dibromophenol</t>
  </si>
  <si>
    <t>2,6-Dibromophenol</t>
  </si>
  <si>
    <t>4.3 to 7</t>
  </si>
  <si>
    <t>GC-FID &amp; UV-Vis</t>
  </si>
  <si>
    <t>Second order approach</t>
  </si>
  <si>
    <t>Mahmoodlu</t>
  </si>
  <si>
    <t>Evaluation of the kinetic oxidation of aqueous volatile organic compounds by permanganate</t>
  </si>
  <si>
    <t>7 to 8.5</t>
  </si>
  <si>
    <t>7 to 7.8</t>
  </si>
  <si>
    <t>Tetrabromobisphenol-A</t>
  </si>
  <si>
    <t>"great excess"</t>
  </si>
  <si>
    <t>Pang et al</t>
  </si>
  <si>
    <t>Oxidation of flame retardant tetrabromobisphenol a by aqueous permanganate: reaction kinetics, brominated products, and pathways</t>
  </si>
  <si>
    <t>20 to 50</t>
  </si>
  <si>
    <t>0.0004 to 0.001</t>
  </si>
  <si>
    <t>Cheng et al</t>
  </si>
  <si>
    <t>Permanganate oxidation of diclofenac: The pH-dependent reaction kinetics and a ring-opening mechanism</t>
  </si>
  <si>
    <t>0.00008 to 0.00016</t>
  </si>
  <si>
    <t>Liang et al</t>
  </si>
  <si>
    <t>Treatment of TCE-contaminated Groundwater using In Situ Potassium Permanganate Oxidation: Effects and Kinetics Evaluation</t>
  </si>
  <si>
    <t>Salbutamol</t>
  </si>
  <si>
    <t>Reactivity of beta-blockers/agonists with aqueous permanganate. Kinetics and transformation products of salbutamol</t>
  </si>
  <si>
    <t>Oxidative degradation of triclosan by potassium permanganate: Kinetics, degradation products, reaction mechanism, and toxicity evaluation</t>
  </si>
  <si>
    <t>0.02 M Phosphate</t>
  </si>
  <si>
    <t>50 to 130</t>
  </si>
  <si>
    <t>0.0005 to 0.0013</t>
  </si>
  <si>
    <t>Xu et al</t>
  </si>
  <si>
    <t>Evaluation of the oxidation of enrofloxacin by permanganate and the antimicrobial activity of the products</t>
  </si>
  <si>
    <t>Bisphenol-S</t>
  </si>
  <si>
    <t>Gao et al</t>
  </si>
  <si>
    <t>Unrecognized role of bisulfite as Mn(III) stabilizing agent in activating permanganate (Mn(VII)) for enhanced degradation of organic contaminants</t>
  </si>
  <si>
    <t>LC-UV &amp; ELISA</t>
  </si>
  <si>
    <t>6.3 to 127</t>
  </si>
  <si>
    <t>0.0000006 to 0.000013</t>
  </si>
  <si>
    <t>Jeong et al</t>
  </si>
  <si>
    <t>Elimination of microcystin-LR and residual Mn species using permanganate and powdered activated carbon: Oxidation products and pathways</t>
  </si>
  <si>
    <t>4-Nitrotoluene</t>
  </si>
  <si>
    <t>0.25 M Phosphate</t>
  </si>
  <si>
    <t>Klajman et al</t>
  </si>
  <si>
    <t>Resolving Discrepancy between Theory and Experiment in 4-Nitrotoluene Oxidation</t>
  </si>
  <si>
    <t>0.001 M Phosphate</t>
  </si>
  <si>
    <t>50 to 200</t>
  </si>
  <si>
    <t>0.00002 to 0.00008</t>
  </si>
  <si>
    <t>Impact of humic acid on the degradation of levofloxacin by aqueous permanganate: Kinetics and mechanism</t>
  </si>
  <si>
    <t>0.000001 to 0.00001</t>
  </si>
  <si>
    <t>Kim et al</t>
  </si>
  <si>
    <t>Oxidation of Microcystins by Permanganate: pH and Temperature-Dependent Kinetics, Effect of DOM Characteristics, and Oxidation Mechanism Revisited</t>
  </si>
  <si>
    <t>Methylparaben</t>
  </si>
  <si>
    <t>0.002 M Borate</t>
  </si>
  <si>
    <t>0.00005 to 0.0003</t>
  </si>
  <si>
    <t>Li et al</t>
  </si>
  <si>
    <t>Transformation of Methylparaben by aqueous permanganate in the presence of iodide: Kinetics, modeling, and formation of iodinated aromatic products</t>
  </si>
  <si>
    <t>5 to 30</t>
  </si>
  <si>
    <t>4-Hydroxybenzoic Acid</t>
  </si>
  <si>
    <t>2-Methylphenol (o-Cresol)</t>
  </si>
  <si>
    <t xml:space="preserve">Unbuffered, pH Adjusted with Perchloric Acid and Sodium Hydroxide </t>
  </si>
  <si>
    <t>5.5 to 33</t>
  </si>
  <si>
    <t>Matta &amp; Chiron</t>
  </si>
  <si>
    <t>Oxidative degradation of pentachlorophenol by permanganate for ISCO application</t>
  </si>
  <si>
    <t>Qian et al</t>
  </si>
  <si>
    <t>Oxidation of Cefalexin by Permanganate: Reaction Kinetics, Mechanism, and Residual Antibacterial Activity</t>
  </si>
  <si>
    <t>Quinclorac (Anion)</t>
  </si>
  <si>
    <t>5 to 9</t>
  </si>
  <si>
    <t>0.05 M Acetate  or 0.05 M Borate</t>
  </si>
  <si>
    <t>100+</t>
  </si>
  <si>
    <t>Song et al</t>
  </si>
  <si>
    <t>Oxidative removal of quinclorac by permanganate through a rate-limiting [3 + 2] cycloaddition reaction</t>
  </si>
  <si>
    <t>Chlorophene</t>
  </si>
  <si>
    <t>Unbuffered, pH adjusted with HCl and NaOH</t>
  </si>
  <si>
    <t>Degradation kinetics and transformation products of chlorophene by aqueous permanganate</t>
  </si>
  <si>
    <t>Sulfadiazine</t>
  </si>
  <si>
    <t>5 to 50</t>
  </si>
  <si>
    <t>0.0001 to 0.001</t>
  </si>
  <si>
    <t>Sulfadiazine oxidation by permanganate: Kinetics, mechanistic investigation and toxicity evaluation</t>
  </si>
  <si>
    <t>0.000001 to 0.000003</t>
  </si>
  <si>
    <t>Laszakovits &amp; MacKay</t>
  </si>
  <si>
    <t>Removal of cyanotoxins by potassium permanganate: Incorporating competition from natural water constituents</t>
  </si>
  <si>
    <t>2900 to 5700</t>
  </si>
  <si>
    <t>0.0002 to 0.0004</t>
  </si>
  <si>
    <t>Guanine</t>
  </si>
  <si>
    <t>200 to 800</t>
  </si>
  <si>
    <t>0.0001 to 0.0004</t>
  </si>
  <si>
    <t>2-Amine benzodiazol</t>
  </si>
  <si>
    <t>33 to 100</t>
  </si>
  <si>
    <t>Urethane</t>
  </si>
  <si>
    <t>Unreactive, less than 0.01</t>
  </si>
  <si>
    <t>10 to 50</t>
  </si>
  <si>
    <t>Laszakovits et al</t>
  </si>
  <si>
    <t>Diethyl phenylene diamine (DPD) oxidation to measure low concentration permanganate in environmental systems</t>
  </si>
  <si>
    <t>33 to 133</t>
  </si>
  <si>
    <t>Bisphenol-AF</t>
  </si>
  <si>
    <t>20 to 100</t>
  </si>
  <si>
    <t>Transformation of bisphenol AF and bisphenol S by permanganate in the absence/presence of iodide: Kinetics and products</t>
  </si>
  <si>
    <t>Aniline</t>
  </si>
  <si>
    <t>0.00012 to 0.0003</t>
  </si>
  <si>
    <t>Oxidation kinetics of anilines by aqueous permanganate and effects of manganese products: Comparison to phenols</t>
  </si>
  <si>
    <t>4-Methylaniline</t>
  </si>
  <si>
    <t>2-Chloroaniline</t>
  </si>
  <si>
    <t>3-Chloroaniline</t>
  </si>
  <si>
    <t>4-Chloroaniline</t>
  </si>
  <si>
    <t>2-Bromoaniline</t>
  </si>
  <si>
    <t>3-Bromoaniline</t>
  </si>
  <si>
    <t>4-Bromoaniline</t>
  </si>
  <si>
    <t>Ammonium Carbonate Buffered (Unknown Concentration)</t>
  </si>
  <si>
    <t>Szlag et al</t>
  </si>
  <si>
    <t>Permanganate Oxidation of Microcystin-LA: Kinetics, Quantification, and Implications for Effective Drinking Water Treatment</t>
  </si>
  <si>
    <t>Imidacloprid</t>
  </si>
  <si>
    <t>0.05 M Acetate or Borate, 0.1 M Perchlorate Background Electrolye</t>
  </si>
  <si>
    <t>0.005 to 0.02</t>
  </si>
  <si>
    <t>Eliminating imidacloprid and its toxicity by permanganate via highly selective partial oxidation</t>
  </si>
  <si>
    <t>Unreactive, less than 0.00033</t>
  </si>
  <si>
    <t>0 to 0.1 M Phosphate</t>
  </si>
  <si>
    <t>Park et al</t>
  </si>
  <si>
    <t>Evaluating perfluorooctanesulfonate oxidation in permanganate systems</t>
  </si>
  <si>
    <t>Unbuferred, pH adjusted but unclear how</t>
  </si>
  <si>
    <t>0.4 to 4</t>
  </si>
  <si>
    <t>0.00003 to 0.0003</t>
  </si>
  <si>
    <t>Vella &amp; Veronda</t>
  </si>
  <si>
    <t>Oxidation of Trichloroethylene: A Comparison of Potassium Permanganate and Fenton's Reagent</t>
  </si>
  <si>
    <t>0.000008 to 0.00008</t>
  </si>
  <si>
    <t>Kao et al</t>
  </si>
  <si>
    <t>Application of potassium permanganate as an oxidant for in situ oxidation of trichloroethylene-contaminated groundwater: a laboratory and kinetics study</t>
  </si>
  <si>
    <t>15 to 22</t>
  </si>
  <si>
    <t>0.0006 to 0.006</t>
  </si>
  <si>
    <t>Urynowicz</t>
  </si>
  <si>
    <t>In Situ Chemical Oxidation with Permanganate: Assessing the Competitive Interactions Between Target and Nontarget Compounds</t>
  </si>
  <si>
    <t>38 to 75</t>
  </si>
  <si>
    <t>0.000225 to 0.00045</t>
  </si>
  <si>
    <t>Laszakovits et al.</t>
  </si>
  <si>
    <t>Permanganate Oxidation of Organic Contaminants &amp; Model Compounds</t>
  </si>
  <si>
    <t>430 to 855</t>
  </si>
  <si>
    <t>0.0025 to 0.0051</t>
  </si>
  <si>
    <t>2,4,6-Trimethylphenol</t>
  </si>
  <si>
    <t>12 to 15</t>
  </si>
  <si>
    <t>0.000012 to 0.00003</t>
  </si>
  <si>
    <t>3-Aminophenol</t>
  </si>
  <si>
    <t>13 to 33</t>
  </si>
  <si>
    <t>0.000004 to 0.00001</t>
  </si>
  <si>
    <t>4-Ethylphenol</t>
  </si>
  <si>
    <t>12.5 to 25</t>
  </si>
  <si>
    <t>0.000075 to 0.00015</t>
  </si>
  <si>
    <t>3-Hydroxybenzyl alcohol</t>
  </si>
  <si>
    <t>19 to 38</t>
  </si>
  <si>
    <t>10 to 33</t>
  </si>
  <si>
    <t>Kinetic Study of Oxidation of Trichloroethylene by Potassium Permanganate</t>
  </si>
  <si>
    <t>Hunkeler et al.</t>
  </si>
  <si>
    <t>Monitoring Oxidation of Chlorinated Ethenes by Permanganate in Groundwater Using Stable Isotopes: Laboratory and Field Studies</t>
  </si>
  <si>
    <t>0.01 M Carbonate</t>
  </si>
  <si>
    <t>215 to 5306</t>
  </si>
  <si>
    <t>0.0013 to 0.032</t>
  </si>
  <si>
    <t>Dai &amp; Reitsma</t>
  </si>
  <si>
    <t>Kinetic study of permanganate oxidation of tetrachloroethylene at pH 10.60±0.1</t>
  </si>
  <si>
    <t>SPME-GC-MS</t>
  </si>
  <si>
    <t>6.8 to 20.5</t>
  </si>
  <si>
    <t>0.000002 to 0.000006</t>
  </si>
  <si>
    <t>Studies on the degradation of trace phenol and indole odorants by chlorine and permanganate in drinking water treatment</t>
  </si>
  <si>
    <t>Indole</t>
  </si>
  <si>
    <t>3-Methylindole</t>
  </si>
  <si>
    <t>5 to 10</t>
  </si>
  <si>
    <t>0.01 M Acetate or Borate</t>
  </si>
  <si>
    <t>Zhou et al</t>
  </si>
  <si>
    <t>Unrecognized role of humic acid as a reductant in accelerating fluoroquinolones oxidation by aqueous permanganate</t>
  </si>
  <si>
    <t>Benzophenone-3</t>
  </si>
  <si>
    <t>Cao et al</t>
  </si>
  <si>
    <t>Oxidation of benzophenone-3 in aqueous solution by potassium permanganate: kinetics, degradation products, reaction pathways, and toxicity assessment</t>
  </si>
  <si>
    <t>How Error is Calculated</t>
  </si>
  <si>
    <t>The second-order rate constants using both sets of data are given in Table 4.4. The uncertainties in kC for the experiments in which the KMnO4 concentration was varied are the 95% confidence intervals of the slope given by the linear regression calculation. For the experiments in which the initial arene concentration was varied, the uncertainty in kC is given by the 95% confidence interval of experimental data.</t>
  </si>
  <si>
    <t>triplicate + standard deviation</t>
  </si>
  <si>
    <t xml:space="preserve">duplicate + linear regression </t>
  </si>
  <si>
    <t xml:space="preserve">paper not available </t>
  </si>
  <si>
    <t>no errors</t>
  </si>
  <si>
    <t>duplicate linear regression</t>
  </si>
  <si>
    <t>5 experiments, assuming errors are a standard deviation but unsure</t>
  </si>
  <si>
    <t>The kinetic parameters in eqs S12 and S23 as well as the standard errors were determined
by the nonlinear least square regression of the experimental kMn(VII) data, which was
performed using Origin 8.0 software.</t>
  </si>
  <si>
    <t>The kinetic parameters in eqs S12 and S23 as well as the standard errors were determined by the nonlinear least square regression of the experimental kMn(VII) data, which was performed using Origin 8.0 software.</t>
  </si>
  <si>
    <t xml:space="preserve">Can't find the number 37 but: The kinetic parameters in eqs S12 and S23 as well as the standard errors were determined
by the nonlinear least square regression of the experimental kMn(VII) data, which was performed using Origin 8.0 software. </t>
  </si>
  <si>
    <t xml:space="preserve">The kinetic parameters in eqs S12 and S23 as well as the standard errors were determined by the nonlinear least square regression of the experimental kMn(VII) data, which was performed using Origin 8.0 software. </t>
  </si>
  <si>
    <t>I cannot find this number. In paper is says e-5 for this number. There is a 6.43e-2 and a 5.60e-2 but with no error so maybe this work took roughly the average of those two numbers? Unclear how eerror was determined?</t>
  </si>
  <si>
    <t>Looks like 9 measurements of the rate constants but derived from 3 experiments where each of those experiments was done in triplicate. There is a regression line i.e. an R^2 value.</t>
  </si>
  <si>
    <t>Looks like this is called p-Cresol in the paper. Looks like 9 measurements of the rate constants but derived from 3 experiments where each of those experiments was done in triplicate. There is a regression line i.e. an R^2 value.</t>
  </si>
  <si>
    <t>This appears to be called m-Cresol in the paper. Looks like 9 measurements of the rate constants but derived from 3 experiments where each of those experiments was done in triplicate. There is a regression line i.e. an R^2 value.</t>
  </si>
  <si>
    <t>Looks like 15 measurements of the rate constants but derived from 5 experiments where each of those experiments was done in triplicate. There is a regression line i.e. an R^2 value.</t>
  </si>
  <si>
    <t>Looks like 5 experiments in total with two of those done 4 times and 3 of them done in triplicate. There is a regression line i.e. an R^2 value.</t>
  </si>
  <si>
    <t>potentially linear regression, looks like it was across 6 different experiments 3 exps done in duplicate. There is a regression line i.e. an R^2 value.</t>
  </si>
  <si>
    <t>TCE. 4 exps done in duplicate. There is a regression line i.e. an R^2 value.</t>
  </si>
  <si>
    <t>3 experiments two done in triplicate one done 4 times. There is a regression line i.e. an R^2 value.</t>
  </si>
  <si>
    <t>This could be TCE which was 3 exps done in duplicate with a linear regression R^2 values. If so numbers are wrong as shoud be 0.46 ± 0.05. Therefore I think this mucst not be right?</t>
  </si>
  <si>
    <t>I cannot fine this number or compound in the papers SI with everything else?</t>
  </si>
  <si>
    <t xml:space="preserve">I think this is MTBE. It looks like they might have averaged across the two values given here to determine their own error. Hard to say. </t>
  </si>
  <si>
    <t>4 exps, done in triplcate. There is a regression line i.e. an R^2 value.</t>
  </si>
  <si>
    <t>4 exps done in duplicate. There is a regression line i.e. an R^2 value.</t>
  </si>
  <si>
    <t>The note in the table for this data just says that the standard deviations for triplicates within 5% were not shown. I cannot find the error value of 0.31.</t>
  </si>
  <si>
    <t xml:space="preserve">Cannot find this information in the paper. However, the other Jiang reference for the paper titled. Oxidation of Triclosan by Permanganate (Mn(VII)): Importance of Ligands and In Situ Formed Manganese Oxides. Does have this info. The table where I found the info says "The standard deviations for triplicates within 5% were not shown. " </t>
  </si>
  <si>
    <t xml:space="preserve">This is in a table that says the standard deviations for triplicates within 5% were not shown. </t>
  </si>
  <si>
    <t>This represents Kapp. k obs pseudo-first-order rate constant = the mean value ± 95% confidence interval, k app apparent second-order rate constant is calculated by k app = k obs/[KMnO4]o using the mean k obs value. The paper also states all reactions were conducted in triplicate.</t>
  </si>
  <si>
    <t>rate constant=the mean value±95% confidence interval, kapp apparent second-order rate constant is calculated by kapp = kobs/[KMnO4]o using the mean kobs value. This represents Kapp. k obs pseudo-first-order rate constant = the mean value ± 95% confidence interval, k app apparent second-order rate constant is calculated by k app = k obs/[KMnO4]o using the mean k obs value. The paper also states all reactions were conducted in triplicate.</t>
  </si>
  <si>
    <t xml:space="preserve">This actually appears to come from a body of work that is a review but they also happen to have measured this one. Duplicate kinetic experiments were performed for each excess reagent concentration and it seems they did 3 excess concnetration exps. </t>
  </si>
  <si>
    <t xml:space="preserve">Looks like observed rate constant was plotted against phenol conc for 3 concs done in duplicate. Linear regression was then used to get k and the errors. In the case of permanganate reactions with phenol, second order bimolecular rate constants were determined from a series of pseudo-first order rate constants obtained for systems with differing concentration of the excess reagent:
	"k" _"obs"  "=k[X]" 	where k (M-1 s-1) is the second order rate constant and [X] (M) is the concentration of the reagent present in excess. </t>
  </si>
  <si>
    <t xml:space="preserve">These are different to other measuremnts in this paper as they are second order (which I think is different). he kobs values were plotted against the excess reagent
concentration. The slope of this plot gave the second order rate constant (k, M-1 s-1) and the 95% confidence interval was used as the uncertainty in this measurement. The results are summarized in Table S2.It seems there were 3 excess concs for kobs. So some form of triplicate. </t>
  </si>
  <si>
    <t>Not clear how errors were determined.</t>
  </si>
  <si>
    <t>Cannot seem to find any error decsription. It seems as though the concnetrations of MnO4- was done in duplicate for each conc but unsure if this was propagated through or if averages were taken.</t>
  </si>
  <si>
    <t xml:space="preserve">Cannot seem to find this number or a decsription of erros. It does look like the rate constants detemined in this paper were determined via linear regression. </t>
  </si>
  <si>
    <t>Lot's of details are given for MeP. By using steady-state assumption towards [KMnO₄–MeP] and [KMnO₄–MeP]⁻, the apparent second-order rate constants for KMnO₄ reaction with MeP (k_{KMnO4,MeP}) were expressed as eq S5 (detailed information can be found in Jiang et al., 2014):
k_{KMnO4,MeP} = 1 / [(1/k₁ + [H⁺]·a/k₁)(K_{a1}/[H⁺] + 1)]  (S5)
where a = k₂/(k₃K). The values of k₁ and a for KMnO₄ reaction with MeP calculated by nonlinear least square regression of the experimental data (by using Origin 8.5 software) were (1.88 ± 0.45) M⁻¹ s⁻¹ and (3.86 ± 2.18) × 10⁷, respectively. The experimental data (scatters) and the model simulation (the dashed line) for k_{KMnO4,MeP} were comparatively shown in Fig. S2.</t>
  </si>
  <si>
    <t>"Lot's of details are given for MeP. By using steady-state assumption towards [KMnO₄–MeP] and [KMnO₄–MeP]⁻, the apparent second-order rate constants for KMnO₄ reaction with MeP (k_{KMnO4,MeP}) were expressed as eq S5 (detailed information can be found in Jiang et al., 2014):
k_{KMnO4,MeP} = 1 / [(1/k₁ + [H⁺]·a/k₁)(K_{a1}/[H⁺] + 1)]  (S5)
where a = k₂/(k₃K). The values of k₁ and a for KMnO₄ reaction with MeP calculated by nonlinear least square regression of the experimental data (by using Origin 8.5 software) were (1.88 ± 0.45) M⁻¹ s⁻¹ and (3.86 ± 2.18) × 10⁷, respectively. The experimental data (scatters) and the model simulation (the dashed line) for k_{KMnO4,MeP} were comparatively shown in Fig. S2."</t>
  </si>
  <si>
    <t>5 experiments were conducted.  No furtehr comment on errors</t>
  </si>
  <si>
    <t>3 exps. No further details of errors</t>
  </si>
  <si>
    <t>3 exps, no further details of errors.</t>
  </si>
  <si>
    <t>5 exps, no furtehr details of exps</t>
  </si>
  <si>
    <t>The oxidation of acetol was studied over a fivefold
range of acetol concentration, an eightfold range of
hydroxyl ion concentration, and a tenfold range of permanganate concentration Not much about error though?</t>
  </si>
  <si>
    <t>The rate of oxidation of acetone was determined spectrophotometrically using a tenfold range of acetone concentration, a tenfold range of permanganate concentration, and an eightfold range of base concentration. Not much about error though?</t>
  </si>
  <si>
    <t>8 exps, not much other information though about errors.</t>
  </si>
  <si>
    <t xml:space="preserve">4 exps but not much other info on errors. </t>
  </si>
  <si>
    <t>4 exps but not much info on errors otherwise.</t>
  </si>
  <si>
    <t>5 exps, not much other info on errors</t>
  </si>
  <si>
    <t>9 exps, not much info about error calculations though.</t>
  </si>
  <si>
    <t xml:space="preserve">Cannot find this number or details of error calculations. </t>
  </si>
  <si>
    <t>Can't access</t>
  </si>
  <si>
    <t>At pH 7, the first-order rate constant for ANTX was dependent on the permanganate concentration (Fig. 3a), the slope of this line estimates the apparent second-order rate constant of 2.1(±0.3)×104 M−1 s−1 (n=5, 95% confidence interval)</t>
  </si>
  <si>
    <t>Seems to beno mention of this that I can find. Paper does have some discussion of confidence intervals.</t>
  </si>
  <si>
    <t xml:space="preserve">Regression analysis. Experiments done in duplicate </t>
  </si>
  <si>
    <t xml:space="preserve">Regression analysis. Experiments done in duplicate I also se, An average rate constant value for the reaction between permanganate and sorbic acid at 20 °C of 455.8±4.3 M−1 s−1 was calculated. </t>
  </si>
  <si>
    <t>Uncertainities stated as equal to 1 sigma. Linear regression</t>
  </si>
  <si>
    <t>Linear regression, uncertainities stated as 1 sigma.</t>
  </si>
  <si>
    <t>Looks like linear regressions and states uncertainties are 1 sigma.</t>
  </si>
  <si>
    <t xml:space="preserve">Located the table in the paper of second order rate constants and I have found that ther is no 300? At pH 7 it should 70±3? Figure S3 seems to have linear regression giving a slope of -267 but this is not really the same. </t>
  </si>
  <si>
    <t>Pretty sure errors are from linear regression. They mention they do triplicate expersiemnts and aclauclate standrad deviations later on but this was for looking at antimicrboial activity. These are the comments: The degradation of CFX followed first-order kinetics at different concentrations of PM, and the kobs values increased from 0.002 to 0.014 s−1 as the ratio increased from 5 to 30. The log (kobs) was linearly increased with log (CPM/CCFX), with the slope close to 1. Hence, kobs was first-order with respect to PM concentration. Apparent second-order rate constant (k2,app in Equation (2)) was subsequently calculated to be 12.71 ± (1.62) M−1·s−1 by dividing kobs by the concentration of PM.</t>
  </si>
  <si>
    <t>This is the values k3. It says in the table "estimated accuracy ±8%". There apepars to be no decsription on how this was obtained? They do caluclate kobs and I think this is used. They say kobs was "Each value is the average result of 3 runs reproducible to within ±5%."</t>
  </si>
  <si>
    <t>Estimated accuracy ± 6%. It looks like kobs was used to calulcate this and they say in relation to kobs "Each value is the average result of 4-6 individual kinetic
runs, reproducible to within ±5%."</t>
  </si>
  <si>
    <t xml:space="preserve">Estimated accuracy ±8 %. There is a figure showing kobs measurements against substrate concentrations but the actual kobs values and how they were obtained is not stipulated. </t>
  </si>
  <si>
    <t xml:space="preserve">This is in the earlier Simandi et al. They reference this number to… 2. Szeverdnyi, M. Jaky, and L. I. Simandi, Inorg. Chim. Acta, 1977, 23, L31. AND M. Jbky and L. I. Simbndi, J.C.S. Perkin 11, 1976, 939. I cannot find either of these sources. Actualy I found... Estimated accuracy ±8 %. There is a figure showing kobs measurements against substrate concentrations but the actual kobs values and how they were obtained is not stipulated. </t>
  </si>
  <si>
    <t>They mention. Each result is the average of three runs reproducible to within ±5%. For looking at kobs conc dependence. Then they say nothing about the k2 errors which would be the 0.6 in this case.</t>
  </si>
  <si>
    <t>They mention. Each result is the average of three runs reproducible to within ±5%. For looking at kobs conc dependence. Then they say nothing about the k2 errors which would be the 2.2 in this case.</t>
  </si>
  <si>
    <t>For kobs. each rate constant is the average of three measurements. For the table about pH dependence and these rate constants which is where I find this number there is no comment about about errors. For the table for temp dependence there is the comment "each rate constant is an average of three measurements"</t>
  </si>
  <si>
    <t>The comment made it "The error in the detrmination of k2 with allowance for the accuracy of the measurement is ±6%"</t>
  </si>
  <si>
    <t>They seem to have kobs and then a mention of k2 in terms of a cheme but I caanot find this number. There is also no SI. No mention of error or uncertainity.</t>
  </si>
  <si>
    <t>No access to article</t>
  </si>
  <si>
    <t>Linear regression analysis for k. No comments on errors, repeats etc.</t>
  </si>
  <si>
    <t>Almost certain this info is in the SI which I cannot seem to get to open.</t>
  </si>
  <si>
    <t xml:space="preserve">Linear regression for kobs, equation for k2. Can't find any infor on errors or triplicate </t>
  </si>
  <si>
    <t xml:space="preserve">kobs was linear regression to determine order. Then k2 was form an equation. No mention of replicates or errors. </t>
  </si>
  <si>
    <t>kobs used to determine order using linear regression. K2 then caluclated form an equation. I do find this comment in the SI "All experiments were run in duplicate, and the data were averaged. The standard deviations were usually within 5% unless otherwise noted."</t>
  </si>
  <si>
    <t>Relatively good description here (at least there is some) "uncertainties on k values represent calculated standard deviations (SD) given from the linear regression equation."</t>
  </si>
  <si>
    <t>can't access</t>
  </si>
  <si>
    <t>They state: "All experiments were conducted at least in duplicate, and the average values with standard deviations (error bars) were presented."</t>
  </si>
  <si>
    <t xml:space="preserve">"We observed second order rate constants 120 ± 9 M−1· s−1 and 114 ± 8 M−1· s−1 for our purified and commercially available MC-LA, respectively, with 2.0 ppm mathematical equation, at pH 6.8, and 18 ± 1°C. Combining experiments (N=9) yielded an average second order rate constant at these conditions of 118 ± 9 M−1· s−1." </t>
  </si>
  <si>
    <t xml:space="preserve">"conducted a limited number of experiments with MC-RR and MC-LR. Our rate constant values for MC-LR and MC-RR are consistent and in the range observed by other researchers and follow the trend MC-RR &gt; MC-LR &gt; MC-LA (Table 1)." no further error information.  </t>
  </si>
  <si>
    <t>Linear regression to get second order then equation to calculate k2. No comments on errors.</t>
  </si>
  <si>
    <t>Small mention of errors in analysis but seems as though this is not taken into account really. Can't find this number and can't find an SI.</t>
  </si>
  <si>
    <t>There is some rate data. Cannot find this number or an SI.</t>
  </si>
  <si>
    <t xml:space="preserve">Not much comment on errors. Looks like linear regression for kobs which is not the k2 we want. </t>
  </si>
  <si>
    <t xml:space="preserve">Cannot find this number. Error bars are standard deviation for each estimated second-order rate constant. There is some confusing mentioon of replicates but not sure what measuremnets this was in reference to.  </t>
  </si>
  <si>
    <t>Not available</t>
  </si>
  <si>
    <t xml:space="preserve">Pseudo first order stuff then used to get k2. No mention of errors. </t>
  </si>
  <si>
    <t xml:space="preserve">Cannot find this number.  </t>
  </si>
  <si>
    <t>Entry_ID,Compound,Year,Author,Category,Category_Description,Error_Value,My_Notes</t>
  </si>
  <si>
    <t>119,1-Methylnaphthalene,2004,Forsey,4,Some indication of methodology,0.002,"95% confidence intervals from linear regression"</t>
  </si>
  <si>
    <t>80,1,1-Dichloroethene (1,1-DCE),1999,Yan &amp; Schwartz,4,Some indication of methodology,0.13,"triplicate + standard deviation"</t>
  </si>
  <si>
    <t>99,1,1-Dichloroethene (1,1-DCE),2001,Huang et al,4,Some indication of methodology,0.20,"duplicate + linear regression"</t>
  </si>
  <si>
    <t>88,1,2-Dimethylbenzene (o-Xylene),1996,Rudakov et al,2,Inaccessible or unverifiable,3.00E-05,"paper not available"</t>
  </si>
  <si>
    <t>92,1,2,4-Trimethylbenzene (Pseudocumene),1996,Rudakov et al,2,Inaccessible or unverifiable,9.00E-05,"paper not available"</t>
  </si>
  <si>
    <t>89,1,3-Dimethylbenzene (m-Xylene),1996,Rudakov et al,2,Inaccessible or unverifiable,3.00E-05,"paper not available"</t>
  </si>
  <si>
    <t>91,1,3,5-Trimethylbenzene (Mesitylene),1996,Rudakov et al,2,Inaccessible or unverifiable,4.00E-05,"paper not available"</t>
  </si>
  <si>
    <t>90,1,4-Dimethylbenzene (p-Xylene),1996,Rudakov et al,2,Inaccessible or unverifiable,5.00E-05,"paper not available"</t>
  </si>
  <si>
    <t>134,1,4-Dioxane,2006,Waldemer &amp; Tratnyek,1,No errors reported,,"no errors"</t>
  </si>
  <si>
    <t>238,17B-Estradiol (E2),2012,Jiang et al,1,No errors reported,,"no errors"</t>
  </si>
  <si>
    <t>296,2-Amine benzodiazol,2019,Laszakovits &amp; MacKay,4,Some indication of methodology,0.10,"duplicate linear regression"</t>
  </si>
  <si>
    <t>306,2-Bromoaniline,2019,Pang et al,1,No errors reported,,"no errors"</t>
  </si>
  <si>
    <t>252,2-Bromophenol,2014,Jiang et al,4,Some indication of methodology,4,"nonlinear least square regression with standard errors"</t>
  </si>
  <si>
    <t>277,2-Bromophenol,2018,Li et al,4,Some indication of methodology,1.7,"nonlinear least square regression"</t>
  </si>
  <si>
    <t>303,2-Chloroaniline,2019,Pang et al,1,No errors reported,,"no errors"</t>
  </si>
  <si>
    <t>145,2-Chlorophenol,2006,Waldemer &amp; Tratnyek,4,Some indication of methodology,7.0,"linear regression, 6 experiments, 3 in duplicate"</t>
  </si>
  <si>
    <t>212,2-Chlorophenol,2010,He et al,1,No errors reported,,"no errors"</t>
  </si>
  <si>
    <t>222,2-Chlorophenol,2011,Hossain &amp; McLaughlan,4,Some indication of methodology,0.1,"triplicate, 95% confidence interval"</t>
  </si>
  <si>
    <t>228,2-Chlorophenol,2012,Du et al,1,No errors reported,,"no errors"</t>
  </si>
  <si>
    <t>23,2-Methoxyethanol,1967,Barter &amp; Littler,1,No errors reported,,"no errors"</t>
  </si>
  <si>
    <t>120,2-Methylnaphthalene,2004,Forsey,4,Some indication of methodology,0.003,"95% confidence intervals from linear regression"</t>
  </si>
  <si>
    <t>282,2-Methylphenol (o-Cresol),2018,Li et al,4,Some indication of methodology,6.1,"nonlinear least square regression"</t>
  </si>
  <si>
    <t>41,2-Nitroaniline,1976,Radhakrishnamurti &amp; Sahu,1,No errors reported,,"no errors"</t>
  </si>
  <si>
    <t>38,2-Nitrophenol,1976,Radhakrishnamurti &amp; Sahu,1,No errors reported,,"no errors"</t>
  </si>
  <si>
    <t>139,2-Nitrophenol,2006,Waldemer &amp; Tratnyek,1,No errors reported,,"no errors"</t>
  </si>
  <si>
    <t>11,2-Pentenoate (Anion),1966,Wiberg &amp; Geer,4,Some indication of methodology,12,"5 experiments, assuming standard deviation"</t>
  </si>
  <si>
    <t>231,2,3-Dichlorophenol,2012,Du et al,1,No errors reported,,"no errors"</t>
  </si>
  <si>
    <t>144,2,3-Dichloropropene,2006,Waldemer &amp; Tratnyek,4,Some indication of methodology,5.0,"5 experiments with replicates, linear regression"</t>
  </si>
  <si>
    <t>255,2,4-Dibromophenol,2014,Jiang et al,4,Some indication of methodology,4,"nonlinear least square regression"</t>
  </si>
  <si>
    <t>107,2,4-Dichlorophenol,2003,Zhang et al,1,No errors reported,,"no errors"</t>
  </si>
  <si>
    <t>147,2,4-Dichlorophenol,2006,Waldemer &amp; Tratnyek,4,Some indication of methodology,3,"9 measurements from 3 experiments in triplicate"</t>
  </si>
  <si>
    <t>163,2,4-Dichlorophenol,2009,Jiang et al,4,Some indication of methodology,1.0,"Standard deviations for triplicates within 5%"</t>
  </si>
  <si>
    <t>225,2,4-Dichlorophenol,2011,Hossain &amp; McLaughlan,4,Some indication of methodology,0.03,"triplicate, 95% confidence interval"</t>
  </si>
  <si>
    <t>232,2,4-Dichlorophenol,2012,Du et al,1,No errors reported,,"no errors"</t>
  </si>
  <si>
    <t>140,2,4-Dinitrophenol,2006,Waldemer &amp; Tratnyek,2,Inaccessible or unverifiable,0.006,"Cannot find this number in paper"</t>
  </si>
  <si>
    <t>148,2,4,6-Trichlorophenol,2006,Waldemer &amp; Tratnyek,4,Some indication of methodology,9,"9 measurements from 3 experiments in triplicate"</t>
  </si>
  <si>
    <t>235,2,4,6-Trichlorophenol,2012,Du et al,1,No errors reported,,"no errors"</t>
  </si>
  <si>
    <t>319,2,4,6-Trimethylphenol,2022,Laszakovits et al.,4,Some indication of methodology,5.5,"Duplicate experiments"</t>
  </si>
  <si>
    <t>141,2,4,6-Trinitrophenol (TNP, Picric acid),2006,Waldemer &amp; Tratnyek,1,No errors reported,,"no errors"</t>
  </si>
  <si>
    <t>142,2,4,6-Trinitrotoluene (TNT),2006,Waldemer &amp; Tratnyek,1,No errors reported,,"no errors"</t>
  </si>
  <si>
    <t>221,2,4,6-Trinitrotoluene (TNT),2011,Chokejaroenrat et al,2,Inaccessible or unverifiable,2.00E-05,"Cannot find error description"</t>
  </si>
  <si>
    <t>256,2,6-Dibromophenol,2014,Jiang et al,4,Some indication of methodology,4,"nonlinear least square regression"</t>
  </si>
  <si>
    <t>108,2,6-Dichlorophenol,2003,Zhang et al,1,No errors reported,,"no errors"</t>
  </si>
  <si>
    <t>226,2,6-Dichlorophenol,2011,Hossain &amp; McLaughlan,4,Some indication of methodology,0.042,"triplicate, 95% confidence interval"</t>
  </si>
  <si>
    <t>233,2,6-Dichlorophenol,2012,Du et al,1,No errors reported,,"no errors"</t>
  </si>
  <si>
    <t>327,2,6-Dichlorophenol,2022,Zhang et al,2,Inaccessible or unverifiable,17,"Cannot find this number or error description"</t>
  </si>
  <si>
    <t>320,3-Aminophenol,2022,Laszakovits et al.,4,Some indication of methodology,58,"Duplicate experiments"</t>
  </si>
  <si>
    <t>307,3-Bromoaniline,2019,Pang et al,1,No errors reported,,"no errors"</t>
  </si>
  <si>
    <t>62,3-Bromocinnamate (Anion),1985,Lee &amp; Nagarajan,4,Some indication of methodology,2,"Not clear how errors determined but value given"</t>
  </si>
  <si>
    <t>253,3-Bromophenol,2014,Jiang et al,4,Some indication of methodology,2,"nonlinear least square regression"</t>
  </si>
  <si>
    <t>278,3-Bromophenol,2018,Li et al,4,Some indication of methodology,0.10,"nonlinear least square regression"</t>
  </si>
  <si>
    <t>304,3-Chloroaniline,2019,Pang et al,1,No errors reported,,"no errors"</t>
  </si>
  <si>
    <t>61,3-Chlorocinnamate (Anion),1985,Lee &amp; Nagarajan,4,Some indication of methodology,4,"Not clear how errors determined but value given"</t>
  </si>
  <si>
    <t>146,3-Chlorophenol,2006,Waldemer &amp; Tratnyek,4,Some indication of methodology,0.7,"15 measurements from 5 experiments in triplicate"</t>
  </si>
  <si>
    <t>223,3-Chlorophenol,2011,Hossain &amp; McLaughlan,4,Some indication of methodology,0.00,"triplicate, 95% confidence interval"</t>
  </si>
  <si>
    <t>229,3-Chlorophenol,2012,Du et al,1,No errors reported,,"no errors"</t>
  </si>
  <si>
    <t>322,3-Hydroxybenzyl alcohol,2022,Laszakovits et al.,4,Some indication of methodology,0.43,"Duplicate experiments"</t>
  </si>
  <si>
    <t>59,3-Methoxycinnamate (Anion),1985,Lee &amp; Nagarajan,4,Some indication of methodology,16,"Not clear how errors determined but value given"</t>
  </si>
  <si>
    <t>329,3-Methylindole,2022,Zhang et al,2,Inaccessible or unverifiable,13,"Cannot find this number or error description"</t>
  </si>
  <si>
    <t>149,3-Methylphenol (m-Cresol),2006,Waldemer &amp; Tratnyek,4,Some indication of methodology,4.0,"9 measurements from 3 experiments in triplicate"</t>
  </si>
  <si>
    <t>283,3-Methylphenol (m-Cresol),2018,Li et al,4,Some indication of methodology,1.7,"nonlinear least square regression"</t>
  </si>
  <si>
    <t>326,3-Methylphenol (m-Cresol),2022,Zhang et al,2,Inaccessible or unverifiable,3.3,"Cannot find error description, linear regression"</t>
  </si>
  <si>
    <t>40,3-Nitroaniline,1976,Radhakrishnamurti &amp; Sahu,1,No errors reported,,"no errors"</t>
  </si>
  <si>
    <t>64,3-Nitrocinnamate (Anion),1985,Lee &amp; Nagarajan,4,Some indication of methodology,6,"Not clear how errors determined but value given"</t>
  </si>
  <si>
    <t>37,3-Nitrophenol,1976,Radhakrishnamurti &amp; Sahu,1,No errors reported,,"no errors"</t>
  </si>
  <si>
    <t>12,3-Pentenoate (Anion),1966,Wiberg &amp; Geer,4,Some indication of methodology,23,"5 experiments, not much other info"</t>
  </si>
  <si>
    <t>63,3-Trifluoromethylcinnamate (Anion),1985,Lee &amp; Nagarajan,4,Some indication of methodology,39,"Not clear how errors determined but value given"</t>
  </si>
  <si>
    <t>234,3,4-Dichlorophenol,2012,Du et al,1,No errors reported,,"no errors"</t>
  </si>
  <si>
    <t>308,4-Bromoaniline,2019,Pang et al,1,No errors reported,,"no errors"</t>
  </si>
  <si>
    <t>10,4-Bromocrotonate (Anion),1966,Wiberg &amp; Geer,4,Some indication of methodology,16,"5 experiments conducted"</t>
  </si>
  <si>
    <t>254,4-Bromophenol,2014,Jiang et al,4,Some indication of methodology,4,"nonlinear least square regression"</t>
  </si>
  <si>
    <t>279,4-Bromophenol,2018,Li et al,4,Some indication of methodology,0.30,"nonlinear least square regression"</t>
  </si>
  <si>
    <t>305,4-Chloroaniline,2019,Pang et al,1,No errors reported,,"no errors"</t>
  </si>
  <si>
    <t>17,4-Chlorocinnamate (Anion),1966,Wiberg &amp; Geer,4,Some indication of methodology,15,"3 experiments"</t>
  </si>
  <si>
    <t>60,4-Chlorocinnamate (Anion),1985,Lee &amp; Nagarajan,4,Some indication of methodology,16,"Not clear how errors determined but value given"</t>
  </si>
  <si>
    <t>106,4-Chlorophenol,2003,Zhang et al,1,No errors reported,,"no errors"</t>
  </si>
  <si>
    <t>224,4-Chlorophenol,2011,Hossain &amp; McLaughlan,4,Some indication of methodology,0.01,"triplicate, 95% confidence interval"</t>
  </si>
  <si>
    <t>230,4-Chlorophenol,2012,Du et al,1,No errors reported,,"no errors"</t>
  </si>
  <si>
    <t>321,4-Ethylphenol,2022,Laszakovits et al.,4,Some indication of methodology,0.58,"Duplicate experiments"</t>
  </si>
  <si>
    <t>281,4-Hydroxybenzoic Acid,2018,Li et al,4,Some indication of methodology,0.03,"nonlinear least square regression"</t>
  </si>
  <si>
    <t>16,4-Methoxycinnamate (Anion),1966,Wiberg &amp; Geer,4,Some indication of methodology,14,"3 experiments"</t>
  </si>
  <si>
    <t>302,4-Methylaniline,2019,Pang et al,1,No errors reported,,"no errors"</t>
  </si>
  <si>
    <t>15,4-Methylcinnamate (Anion),1966,Wiberg &amp; Geer,4,Some indication of methodology,14,"3 experiments"</t>
  </si>
  <si>
    <t>57,4-Methylcinnamate (Anion),1985,Lee &amp; Nagarajan,4,Some indication of methodology,11,"Not clear how errors determined but value given"</t>
  </si>
  <si>
    <t>150,4-Methylphenol (p-Cresol),2006,Waldemer &amp; Tratnyek,4,Some indication of methodology,3,"9 measurements from 3 experiments in triplicate"</t>
  </si>
  <si>
    <t>284,4-Methylphenol (p-Cresol),2018,Li et al,4,Some indication of methodology,5.2,"nonlinear least square regression"</t>
  </si>
  <si>
    <t>240,4-n-Nonylphenol,2012,Jiang et al,1,No errors reported,,"no errors"</t>
  </si>
  <si>
    <t>287,4-n-Nonylphenol,2018,Li et al,4,Some indication of methodology,5.1,"nonlinear least square regression"</t>
  </si>
  <si>
    <t>39,4-Nitroaniline,1976,Radhakrishnamurti &amp; Sahu,1,No errors reported,,"no errors"</t>
  </si>
  <si>
    <t>65,4-Nitrocinnamate (Anion),1985,Lee &amp; Nagarajan,4,Some indication of methodology,20,"Not clear how errors determined but value given"</t>
  </si>
  <si>
    <t>36,4-Nitrophenol,1976,Radhakrishnamurti &amp; Sahu,1,No errors reported,,"no errors"</t>
  </si>
  <si>
    <t>318,4-Nitrophenol,2022,Laszakovits et al.,4,Some indication of methodology,0.03,"Duplicate experiments"</t>
  </si>
  <si>
    <t>268,4-Nitrotoluene,2017,Klajman et al,2,Inaccessible or unverifiable,1.11E-05,"Cannot find this number or details"</t>
  </si>
  <si>
    <t>13,4-Pentenoate (Anion),1966,Wiberg &amp; Geer,4,Some indication of methodology,8,"5 experiments"</t>
  </si>
  <si>
    <t>55,5-Acetyluracil,1981,Freeman et al,1,No errors reported,,"no errors"</t>
  </si>
  <si>
    <t>53,5-Bromouracil,1981,Freeman et al,1,No errors reported,,"no errors"</t>
  </si>
  <si>
    <t>52,5-Chlorouracil,1981,Freeman et al,1,No errors reported,,"no errors"</t>
  </si>
  <si>
    <t>51,5-Fluorouracil,1981,Freeman et al,1,No errors reported,,"no errors"</t>
  </si>
  <si>
    <t>54,5-Iodouracil,1981,Freeman et al,1,No errors reported,,"no errors"</t>
  </si>
  <si>
    <t>49,5-Methyluracil (Thymine),1981,Freeman et al,1,No errors reported,,"no errors"</t>
  </si>
  <si>
    <t>56,5-Nitrouracil,1981,Freeman et al,1,No errors reported,,"no errors"</t>
  </si>
  <si>
    <t>241,5,6,7,8-tetrahydro-2-napthol,2012,Jiang et al,1,No errors reported,,"no errors"</t>
  </si>
  <si>
    <t>50,6-Methyluracil,1981,Freeman et al,1,No errors reported,,"no errors"</t>
  </si>
  <si>
    <t>121,Acenaphthene,2004,Forsey,4,Some indication of methodology,3.00E-02,"95% confidence intervals from linear regression"</t>
  </si>
  <si>
    <t>171,Acetaminophen,2010,Gibson,2,Inaccessible or unverifiable,197,"Can't access"</t>
  </si>
  <si>
    <t>2,Acetol,1965,Wiberg &amp; Geer,4,Some indication of methodology,2,"fivefold range studied, not much about error"</t>
  </si>
  <si>
    <t>1,Acetone,1965,Wiberg &amp; Geer,4,Some indication of methodology,0.2,"tenfold range studied, not much about error"</t>
  </si>
  <si>
    <t>82,Acetone,2000,Jaky et al,1,No errors reported,,"no errors"</t>
  </si>
  <si>
    <t>129,Acetylacetone,2006,Jaky et al,1,No errors reported,,"no errors"</t>
  </si>
  <si>
    <t>26,Acetylenedicarboxylic Acid (Dianion),1972,Simandi &amp; Jaky,1,No errors reported,,"no errors"</t>
  </si>
  <si>
    <t>7,Acrylate (Anion),1966,Wiberg &amp; Geer,4,Some indication of methodology,17,"8 experiments"</t>
  </si>
  <si>
    <t>152,Aldicarb,2006,Waldemer &amp; Tratnyek,4,Some indication of methodology,0.20,"9 measurements from 3 experiments in triplicate"</t>
  </si>
  <si>
    <t>6,Allyl alcohol,1966,Wiberg &amp; Geer,4,Some indication of methodology,7,"4 experiments"</t>
  </si>
  <si>
    <t>157,Anatoxin-a,2007,Rodriguez et al,4,Some indication of methodology,3000,"95% confidence interval, n=5"</t>
  </si>
  <si>
    <t>301,Aniline,2019,Pang et al,1,No errors reported,,"no errors"</t>
  </si>
  <si>
    <t>190,Atenolol,2010,Gibson,2,Inaccessible or unverifiable,0.60,"Can't access"</t>
  </si>
  <si>
    <t>194,Atrazine,2010,Gibson,2,Inaccessible or unverifiable,0.20,"Can't access"</t>
  </si>
  <si>
    <t>180,Bacitracin,2010,Gibson,2,Inaccessible or unverifiable,5.8,"Can't access"</t>
  </si>
  <si>
    <t>72,Benzaldehyde,1996,Gardner,1,No errors reported,,"no errors"</t>
  </si>
  <si>
    <t>86,Benzene,2000,Rudakov &amp; Lobachev,4,Some indication of methodology,4.20E-07,"error ±6% mentioned"</t>
  </si>
  <si>
    <t>124,Benzene,2004,Forsey,1,No errors reported,,"No reaction, estimate"</t>
  </si>
  <si>
    <t>110,Benzilic acid,2004,Farokhi &amp; Nandibewoor,4,Some indication of methodology,0.02,"kobs mentioned, no SI"</t>
  </si>
  <si>
    <t>332,Benzophenone-3,2021,Cao et al,1,No errors reported,,"no errors"</t>
  </si>
  <si>
    <t>71,Benzylalcohol,1996,Gardner,1,No errors reported,,"no errors"</t>
  </si>
  <si>
    <t>126,Biphenyl,2004,Forsey,1,No errors reported,,"No reaction, estimate"</t>
  </si>
  <si>
    <t>175,Bisphenol-A (BPA),2010,Gibson,2,Inaccessible or unverifiable,1,"Can't access"</t>
  </si>
  <si>
    <t>216,Bisphenol-A (BPA),2010,Jiang et al,1,No errors reported,,"no errors"</t>
  </si>
  <si>
    <t>249,Bisphenol-A (BPA),2013,Yang et al,2,Inaccessible or unverifiable,20,"No access to article"</t>
  </si>
  <si>
    <t>251,Bisphenol-A (BPA),2013,Yang et al,1,No errors reported,,"no errors"</t>
  </si>
  <si>
    <t>286,Bisphenol-A (BPA),2018,Li et al,4,Some indication of methodology,1.7,"nonlinear least square regression"</t>
  </si>
  <si>
    <t>300,Bisphenol-AF,2019,Li et al,1,No errors reported,,"no errors"</t>
  </si>
  <si>
    <t>266,Bisphenol-S,2017,Gao et al,1,No errors reported,,"no errors"</t>
  </si>
  <si>
    <t>46,Bromomaleate (Dianion),1977,Simandi et al,3,Error given, no methodology,0.22,"estimated accuracy ±8%, no description how obtained"</t>
  </si>
  <si>
    <t>30,But-2-yne-1,4-diol,1973,Simandi &amp; Jaky,4,Some indication of methodology,0.8,"average of three measurements mentioned"</t>
  </si>
  <si>
    <t>84,Butan-2-one (MEK),2000,Jaky et al,1,No errors reported,,"no errors"</t>
  </si>
  <si>
    <t>135,Butan-2-one (MEK),2006,Waldemer &amp; Tratnyek,1,No errors reported,,"no errors"</t>
  </si>
  <si>
    <t>85,Butane-2,3-dione,2000,Jaky et al,1,No errors reported,,"no errors"</t>
  </si>
  <si>
    <t>205,Caffeine,2010,Gibson,2,Inaccessible or unverifiable,0.078,"Can't access"</t>
  </si>
  <si>
    <t>206,Carbadox,2010,Gibson,2,Inaccessible or unverifiable,0.019,"Can't access"</t>
  </si>
  <si>
    <t>160,Carbamazepine,2009,Hu et al,2,Inaccessible or unverifiable,30,"Cannot find this value in paper"</t>
  </si>
  <si>
    <t>174,Carbamazepine,2010,Gibson,2,Inaccessible or unverifiable,6,"Can't access"</t>
  </si>
  <si>
    <t>217,Carbamazepine,2010,Jiang et al,1,No errors reported,,"no errors"</t>
  </si>
  <si>
    <t>123,Carbazole,2004,Forsey,4,Some indication of methodology,8.00E-02,"95% confidence intervals from linear regression"</t>
  </si>
  <si>
    <t>172,Cefdinir,2010,Gibson,2,Inaccessible or unverifiable,62,"Can't access"</t>
  </si>
  <si>
    <t>182,Cephalexin,2010,Gibson,2,Inaccessible or unverifiable,0.5,"Can't access"</t>
  </si>
  <si>
    <t>289,Cephalexin,2018,Qian et al,4,Some indication of methodology,1.6,"triplicate experiments mentioned, linear regression"</t>
  </si>
  <si>
    <t>130,Chloroform,2006,Waldemer &amp; Tratnyek,1,No errors reported,,"no errors"</t>
  </si>
  <si>
    <t>44,Chloromaleate (Dianion),1977,Simandi et al,3,Error given, no methodology,0.32,"estimated accuracy ±8%, no description how obtained"</t>
  </si>
  <si>
    <t>291,Chlorophene,2018,Xu et al,4,Some indication of methodology,0.5,"Linear regression analysis"</t>
  </si>
  <si>
    <t>181,Chlortetracycline,2010,Gibson,2,Inaccessible or unverifiable,18.5,"Can't access"</t>
  </si>
  <si>
    <t>111,Chrysene,2004,Forsey,4,Some indication of methodology,0.010,"95% confidence intervals from linear regression"</t>
  </si>
  <si>
    <t>14,Cinnamate (Anion),1966,Wiberg &amp; Geer,4,Some indication of methodology,25,"4 experiments"</t>
  </si>
  <si>
    <t>58,Cinnamate (Anion),1985,Lee &amp; Nagarajan,4,Some indication of methodology,18,"Not clear how errors determined but value given"</t>
  </si>
  <si>
    <t>192,Ciprofloxacin,2010,Gibson,2,Inaccessible or unverifiable,0.28,"Can't access"</t>
  </si>
  <si>
    <t>213,Ciprofloxacin,2010,Hu et al,4,Some indication of methodology,0.02,"Linear regression, 1 sigma uncertainties"</t>
  </si>
  <si>
    <t>331,Ciprofloxacin,2021,Zhou et al,4,Some indication of methodology,0.04,"SI likely has info but cannot open"</t>
  </si>
  <si>
    <t>77,cis-Dichloroethene (cis-DCE),1999,Yan &amp; Schwartz,4,Some indication of methodology,0.05,"triplicate + standard deviation"</t>
  </si>
  <si>
    <t>98,cis-Dichloroethene (cis-DCE),2001,Huang et al,4,Some indication of methodology,0.05,"duplicate + linear regression"</t>
  </si>
  <si>
    <t>104,cis-Dichloroethene (cis-DCE),2002,Poulson &amp; Naraoka,1,No errors reported,,"no errors"</t>
  </si>
  <si>
    <t>133,cis-Dichloroethene (cis-DCE),2006,Waldemer &amp; Tratnyek,4,Some indication of methodology,0.06,"4 experiments in duplicate, linear regression"</t>
  </si>
  <si>
    <t>188,Colistin,2010,Gibson,2,Inaccessible or unverifiable,0.16,"Can't access"</t>
  </si>
  <si>
    <t>200,Continine,2010,Gibson,2,Inaccessible or unverifiable,0.60,"Can't access"</t>
  </si>
  <si>
    <t>8,Crotonate (Anion),1966,Wiberg &amp; Geer,4,Some indication of methodology,11,"5 experiments"</t>
  </si>
  <si>
    <t>19,Cyclohexanol,1967,Barter &amp; Littler,1,No errors reported,,"no errors"</t>
  </si>
  <si>
    <t>158,Cylindrospermopsin,2007,Rodriguez et al,1,No errors reported,,"no errors"</t>
  </si>
  <si>
    <t>294,Cylindrospermopsin,2019,Laszakovits &amp; MacKay,4,Some indication of methodology,0.05,"duplicate linear regression"</t>
  </si>
  <si>
    <t>176,Demeclocycline,2010,Gibson,2,Inaccessible or unverifiable,7,"Can't access"</t>
  </si>
  <si>
    <t>127,Dibenzofuran,2004,Forsey,1,No errors reported,,"No reaction, estimate"</t>
  </si>
  <si>
    <t>47,Dibromomaleate (Dianion),1977,Simandi et al,3,Error given, no methodology,0.003,"estimated accuracy ±8%, no description how obtained"</t>
  </si>
  <si>
    <t>45,Dichloromaleate (Dianion),1977,Simandi et al,3,Error given, no methodology,0.30,"estimated accuracy ±8%, no description how obtained"</t>
  </si>
  <si>
    <t>151,Dichlorvos,2006,Waldemer &amp; Tratnyek,4,Some indication of methodology,0.4,"4 experiments in triplicate, linear regression"</t>
  </si>
  <si>
    <t>164,Dichlorvos,2010,Liu et al 2009,4,Some indication of methodology,0.4,"Linear regression for kobs"</t>
  </si>
  <si>
    <t>187,Diclofenac,2010,Gibson,2,Inaccessible or unverifiable,0.12,"Can't access"</t>
  </si>
  <si>
    <t>248,Diclofenac,2013,Rodriguez-Alvarez et al,4,Some indication of methodology,0.39,"Confidence intervals mentioned"</t>
  </si>
  <si>
    <t>261,Diclofenac,2015,Cheng et al,4,Some indication of methodology,0.02,"linear regression, no mention of replicates"</t>
  </si>
  <si>
    <t>24,Diisopropyl ether,1967,Barter &amp; Littler,1,No errors reported,,"no errors"</t>
  </si>
  <si>
    <t>202,Dilantin,2010,Gibson,2,Inaccessible or unverifiable,0.08,"Can't access"</t>
  </si>
  <si>
    <t>35,Dimethylmaleate (Dianion),1976,Jaky &amp; Simandi,3,Error given, no methodology,4.3,"Estimated accuracy ±8%, methodology not in paper"</t>
  </si>
  <si>
    <t>21,Dioxan,1967,Barter &amp; Littler,1,No errors reported,,"no errors"</t>
  </si>
  <si>
    <t>189,Enrofloxacin,2010,Gibson,2,Inaccessible or unverifiable,0.12,"Can't access"</t>
  </si>
  <si>
    <t>265,Enrofloxacin,2016,Xu et al,4,Some indication of methodology,0.30,"duplicate experiments, standard deviations within 5%"</t>
  </si>
  <si>
    <t>330,Enrofloxacin,2021,Zhou et al,4,Some indication of methodology,0.12,"SI likely has info but cannot open"</t>
  </si>
  <si>
    <t>191,Erythromycin,2010,Gibson,2,Inaccessible or unverifiable,0.04,"Can't access"</t>
  </si>
  <si>
    <t>239,Estriol (E3),2012,Jiang et al,1,No errors reported,,"no errors"</t>
  </si>
  <si>
    <t>219,Estrone (E1),2010,Shao et al,1,No errors reported,,"no errors"</t>
  </si>
  <si>
    <t>237,Estrone (E1),2012,Jiang et al,1,No errors reported,,"no errors"</t>
  </si>
  <si>
    <t>20,Ethanol,1967,Barter &amp; Littler,1,No errors reported,,"no errors"</t>
  </si>
  <si>
    <t>259,Ethanol,2014,Mahmoodlu,1,No errors reported,,"no errors"</t>
  </si>
  <si>
    <t>68,Ethylbenzene,1996,Gardner,1,No errors reported,,"no errors"</t>
  </si>
  <si>
    <t>93,Ethylbenzene,1996,Rudakov et al,2,Inaccessible or unverifiable,6.00E-04,"paper not available"</t>
  </si>
  <si>
    <t>117,Ethylbenzene,2004,Forsey,4,Some indication of methodology,8.00E-04,"95% confidence intervals from linear regression"</t>
  </si>
  <si>
    <t>196,Flumequine,2010,Gibson,2,Inaccessible or unverifiable,0.20,"Can't access"</t>
  </si>
  <si>
    <t>114,Fluoranthene,2004,Forsey,4,Some indication of methodology,0.30,"95% confidence intervals from linear regression"</t>
  </si>
  <si>
    <t>122,Fluorene,2004,Forsey,4,Some indication of methodology,3.00E-02,"95% confidence intervals from linear regression"</t>
  </si>
  <si>
    <t>28,Fumarate (Dianion),1973,Simandi &amp; Jaky,3,Error given, no methodology,71,"Estimated accuracy ±6%, kobs average of 4-6 runs"</t>
  </si>
  <si>
    <t>201,Gemfibrozil,2010,Gibson,2,Inaccessible or unverifiable,0.08,"Can't access"</t>
  </si>
  <si>
    <t>295,Guanine,2019,Laszakovits &amp; MacKay,4,Some indication of methodology,0.20,"duplicate linear regression"</t>
  </si>
  <si>
    <t>109,Hexahydro-1,3,5-trinitro-1,3,5-triazine (RDX),2004,Adam et al,1,No errors reported,,"no errors"</t>
  </si>
  <si>
    <t>220,Hexahydro-1,3,5-trinitro-1,3,5-triazine (RDX),2011,Chokejaroenrat et al,2,Inaccessible or unverifiable,2.20E-06,"Cannot find error description, duplicate mentioned"</t>
  </si>
  <si>
    <t>83,Hydroxyacetone,2000,Jaky et al,1,No errors reported,,"no errors"</t>
  </si>
  <si>
    <t>199,Ibuprofen,2010,Gibson,2,Inaccessible or unverifiable,0.12,"Can't access"</t>
  </si>
  <si>
    <t>312,Imidacloprid,2020,Jiang et al,1,No errors reported,,"no errors"</t>
  </si>
  <si>
    <t>328,Indole,2022,Zhang et al,2,Inaccessible or unverifiable,2.2,"Cannot find this number or error description"</t>
  </si>
  <si>
    <t>247,Indomethacin,2013,Rodriguez-Alvarez et al,2,Inaccessible or unverifiable,0.42,"Cannot find error description, linear regression"</t>
  </si>
  <si>
    <t>25,Isopropanol,1967,Barter &amp; Littler,1,No errors reported,,"no errors"</t>
  </si>
  <si>
    <t>69,Isopropylbenzene (Cumene),1996,Gardner,1,No errors reported,,"no errors"</t>
  </si>
  <si>
    <t>94,Isopropylbenzene (Cumene),1996,Rudakov et al,2,Inaccessible or unverifiable,5.00E-04,"paper not available"</t>
  </si>
  <si>
    <t>118,Isopropylbenzene (Cumene),2004,Forsey,4,Some indication of methodology,2.00E-03,"95% confidence intervals from linear regression"</t>
  </si>
  <si>
    <t>5,Lactate (Anion),1965,Wiberg &amp; Geer,1,No errors reported,,"no errors"</t>
  </si>
  <si>
    <t>177,Levofloxacin,2010,Gibson,2,Inaccessible or unverifiable,17.2,"Can't access"</t>
  </si>
  <si>
    <t>269,Levofloxacin,2017,Xu et al,1,No errors reported,,"no errors"</t>
  </si>
  <si>
    <t>243,Levonorgestrel,2013,Fayad et al,4,Some indication of methodology,10,"standard deviations from linear regression"</t>
  </si>
  <si>
    <t>215,Lincomycin,2010,Hu et al,4,Some indication of methodology,0.10,"Linear regression, 1 sigma uncertainties"</t>
  </si>
  <si>
    <t>195,Lomefloxacin,2010,Gibson,2,Inaccessible or unverifiable,0.08,"Can't access"</t>
  </si>
  <si>
    <t>27,Maleate (Dianion),1973,Simandi &amp; Jaky,3,Error given, no methodology,60,"Estimated accuracy ±6%, kobs average of 4-6 runs"</t>
  </si>
  <si>
    <t>244,Medroxyprogesterone,2013,Fayad et al,4,Some indication of methodology,2.0,"standard deviations from linear regression"</t>
  </si>
  <si>
    <t>22,Methanol,1967,Barter &amp; Littler,1,No errors reported,,"no errors"</t>
  </si>
  <si>
    <t>218,Methyl p-tolyl sulfoxide (TMSO),2010,Jiang et al,1,No errors reported,,"no errors"</t>
  </si>
  <si>
    <t>101,Methyl tert-butyl ether (MTBE),2002,Damm et al,4,Some indication of methodology,1.74E-06,"Some error value given"</t>
  </si>
  <si>
    <t>136,Methyl tert-butyl ether (MTBE),2006,Waldemer &amp; Tratnyek,2,Inaccessible or unverifiable,3.89E-06,"Might have averaged across values"</t>
  </si>
  <si>
    <t>34,Methylfumarate (Dianion),1976,Jaky &amp; Simandi,3,Error given, no methodology,7.8,"Estimated accuracy ±8%, kobs figure but not values"</t>
  </si>
  <si>
    <t>33,Methylmaleate (Dianion),1976,Jaky &amp; Simandi,3,Error given, no methodology,25,"Estimated accuracy ±8%, kobs figure but not values"</t>
  </si>
  <si>
    <t>276,Methylparaben,2018,Li et al,4,Some indication of methodology,0.05,"nonlinear least square regression"</t>
  </si>
  <si>
    <t>210,Metoprolol,2010,Gibson,1,No errors reported,,"Estimated &lt;1.8E-3, no errors"</t>
  </si>
  <si>
    <t>167,Microcystin-LA,2010,Ding et al,1,No errors reported,,"no errors"</t>
  </si>
  <si>
    <t>275,Microcystin-LA,2018,Kim et al,4,Some indication of methodology,1,"duplicate experiments, average with standard deviations"</t>
  </si>
  <si>
    <t>309,Microcystin-LA,2019,Szlag et al,4,Some indication of methodology,9,"Combined experiments N=9"</t>
  </si>
  <si>
    <t>168,Microcystin-LF,2010,Ding et al,1,No errors reported,,"no errors"</t>
  </si>
  <si>
    <t>273,Microcystin-LF,2018,Kim et al,4,Some indication of methodology,0,"duplicate experiments, average with standard deviations"</t>
  </si>
  <si>
    <t>153,Microcystin-LR,2007,Rodriguez et al,4,Some indication of methodology,18,"Regression analysis, duplicate experiments"</t>
  </si>
  <si>
    <t>165,Microcystin-LR,2010,Ding et al,1,No errors reported,,"no errors"</t>
  </si>
  <si>
    <t>267,Microcystin-LR,2017,Jeong et al,1,No errors reported,,"no errors"</t>
  </si>
  <si>
    <t>271,Microcystin-LR,2018,Kim et al,4,Some indication of methodology,0,"duplicate experiments, average with standard deviations"</t>
  </si>
  <si>
    <t>293,Microcystin-LR,2019,Laszakovits &amp; MacKay,4,Some indication of methodology,23,"duplicate linear regression"</t>
  </si>
  <si>
    <t>310,Microcystin-LR,2019,Szlag et al,4,Some indication of methodology,20,"limited experiments, consistent with others"</t>
  </si>
  <si>
    <t>169,Microcystin-LW,2010,Ding et al,1,No errors reported,,"no errors"</t>
  </si>
  <si>
    <t>274,Microcystin-LW,2018,Kim et al,4,Some indication of methodology,3,"duplicate experiments, average with standard deviations"</t>
  </si>
  <si>
    <t>128,Microcystin-RR,2005,Chen et al,4,Some indication of methodology,30,"Linear regression, no comments on errors"</t>
  </si>
  <si>
    <t>154,Microcystin-RR,2007,Rodriguez et al,1,No errors reported,,"no errors"</t>
  </si>
  <si>
    <t>166,Microcystin-RR,2010,Ding et al,1,No errors reported,,"no errors"</t>
  </si>
  <si>
    <t>270,Microcystin-RR,2018,Kim et al,4,Some indication of methodology,9,"duplicate experiments, average with standard deviations"</t>
  </si>
  <si>
    <t>311,Microcystin-RR,2019,Szlag et al,1,No errors reported,,"no errors"</t>
  </si>
  <si>
    <t>155,Microcystin-YR,2007,Rodriguez et al,1,No errors reported,,"no errors"</t>
  </si>
  <si>
    <t>170,Microcystin-YR,2010,Ding et al,1,No errors reported,,"no errors"</t>
  </si>
  <si>
    <t>272,Microcystin-YR,2018,Kim et al,4,Some indication of methodology,1,"duplicate experiments, average with standard deviations"</t>
  </si>
  <si>
    <t>207,Monensin,2010,Gibson,2,Inaccessible or unverifiable,0.005,"Can't access"</t>
  </si>
  <si>
    <t>198,Naproxen,2010,Gibson,2,Inaccessible or unverifiable,0.04,"Can't access"</t>
  </si>
  <si>
    <t>112,Napthalene,2004,Forsey,4,Some indication of methodology,0.002,"95% confidence intervals from linear regression"</t>
  </si>
  <si>
    <t>245,Norethindrone,2013,Fayad et al,4,Some indication of methodology,13.0,"standard deviations from linear regression"</t>
  </si>
  <si>
    <t>197,Norfloxacin,2010,Gibson,2,Inaccessible or unverifiable,0.08,"Can't access"</t>
  </si>
  <si>
    <t>184,Ofloxacin,2010,Gibson,2,Inaccessible or unverifiable,0.36,"Can't access"</t>
  </si>
  <si>
    <t>185,Ofloxacin,2010,Gibson,2,Inaccessible or unverifiable,0.24,"Can't access"</t>
  </si>
  <si>
    <t>18,Oleate (Anion),1966,Wiberg &amp; Geer,1,No errors reported,,"no errors"</t>
  </si>
  <si>
    <t>179,Oxytetracycline,2010,Gibson,2,Inaccessible or unverifiable,17.9,"Can't access"</t>
  </si>
  <si>
    <t>236,Pentachlorophenol,2012,Du et al,1,No errors reported,,"no errors"</t>
  </si>
  <si>
    <t>288,Pentachlorophenol,2018,Matta &amp; Chiron,1,No errors reported,,"no errors"</t>
  </si>
  <si>
    <t>242,Perfluorooctanesulfonate (PFOS),2012,Liu et al,1,No errors reported,,"no errors"</t>
  </si>
  <si>
    <t>313,Perfluorooctanesulfonate (PFOS),2020,Park et al,1,No errors reported,,"Unreactive, no errors"</t>
  </si>
  <si>
    <t>113,Phenanthrene,2004,Forsey,4,Some indication of methodology,3.00E-02,"95% confidence intervals from linear regression"</t>
  </si>
  <si>
    <t>70,Phenethylalcohol,1996,Gardner,1,No errors reported,,"no errors"</t>
  </si>
  <si>
    <t>105,Phenol,2003,Zhang et al,1,No errors reported,,"no errors"</t>
  </si>
  <si>
    <t>159,Phenol,2009,He et al,1,No errors reported,,"no errors"</t>
  </si>
  <si>
    <t>162,Phenol,2009,Jiang et al,4,Some indication of methodology,0.31,"standard deviations for triplicates within 5% not shown"</t>
  </si>
  <si>
    <t>211,Phenol,2010,He et al,1,No errors reported,,"no errors"</t>
  </si>
  <si>
    <t>227,Phenol,2012,Du et al,1,No errors reported,,"no errors"</t>
  </si>
  <si>
    <t>250,Phenol,2013,Yang et al,1,No errors reported,,"no errors"</t>
  </si>
  <si>
    <t>280,Phenol,2018,Li et al,4,Some indication of methodology,0.20,"nonlinear least square regression"</t>
  </si>
  <si>
    <t>298,Phenol,2019,Laszakovits et al,4,Some indication of methodology,0.20,"duplicate experiments, linear regression"</t>
  </si>
  <si>
    <t>299,Phenol,2019,Laszakovits et al,4,Some indication of methodology,0.20,"duplicate experiments, linear regression"</t>
  </si>
  <si>
    <t>317,Phenol,2022,Laszakovits et al.,4,Some indication of methodology,0.42,"3 excess concentrations, 95% CI from slope"</t>
  </si>
  <si>
    <t>43,Phenylpropiolate (Anion),1977,Simandi &amp; Jaky,3,Error given, no methodology,0.6,"average of three runs ±5% for kobs, nothing for k2"</t>
  </si>
  <si>
    <t>204,Pipemidic Acid,2010,Gibson,2,Inaccessible or unverifiable,0.08,"Can't access"</t>
  </si>
  <si>
    <t>246,Progesterone,2013,Fayad et al,4,Some indication of methodology,2.0,"standard deviations from linear regression"</t>
  </si>
  <si>
    <t>29,Propargyl alcohol,1973,Simandi &amp; Jaky,4,Some indication of methodology,0.2,"average of three measurements"</t>
  </si>
  <si>
    <t>32,Propargyl bromide,1973,Simandi &amp; Jaky,1,No errors reported,,"no errors"</t>
  </si>
  <si>
    <t>31,Propargyl chloride,1973,Simandi &amp; Jaky,1,No errors reported,,"no errors"</t>
  </si>
  <si>
    <t>42,Propiolate (Anion),1977,Simandi &amp; Jaky,3,Error given, no methodology,2.2,"average of three runs ±5% for kobs, nothing for k2"</t>
  </si>
  <si>
    <t>115,Pyrene,2004,Forsey,4,Some indication of methodology,0.60,"95% confidence intervals from linear regression"</t>
  </si>
  <si>
    <t>3,Pyruvaldehyde,1965,Wiberg &amp; Geer,1,No errors reported,,"no errors"</t>
  </si>
  <si>
    <t>4,Pyruvate (Anion),1965,Wiberg &amp; Geer,1,No errors reported,,"no errors"</t>
  </si>
  <si>
    <t>290,Quinclorac (Anion),2018,Song et al,1,No errors reported,,"no errors"</t>
  </si>
  <si>
    <t>183,Roxithromycin,2010,Gibson,2,Inaccessible or unverifiable,0.2,"Can't access"</t>
  </si>
  <si>
    <t>263,Salbutamol,2015,Rodriguez-Alvarez et al,1,No errors reported,,"no errors"</t>
  </si>
  <si>
    <t>208,Simetone,2010,Gibson,2,Inaccessible or unverifiable,0.008,"Can't access"</t>
  </si>
  <si>
    <t>156,Sorbic Acid (Anion),2007,Rodriguez et al,4,Some indication of methodology,4,"Regression analysis, duplicate, average mentioned"</t>
  </si>
  <si>
    <t>292,Sulfadiazine,2018,Yang et al,1,No errors reported,,"no errors"</t>
  </si>
  <si>
    <t>193,Sulfamethazine,2010,Gibson,2,Inaccessible or unverifiable,0.20,"can't access"</t>
  </si>
  <si>
    <t>203,Sulfamethoxazole,2010,Gibson,2,Inaccessible or unverifiable,0.00,"Can't access"</t>
  </si>
  <si>
    <t>137,Tert-amyl methyl ether (TAME),2006,Waldemer &amp; Tratnyek,2,Inaccessible or unverifiable,7.78E-05,"Cannot find this number or compound in SI"</t>
  </si>
  <si>
    <t>125,Tert-Butylbenzene,2004,Forsey,1,No errors reported,,"No reaction, estimate"</t>
  </si>
  <si>
    <t>260,Tetrabromobisphenol-A,2014,Pang et al,1,No errors reported,,"no errors"</t>
  </si>
  <si>
    <t>73,Tetrachloroethene (PCE),1998,Tratnyek et al,1,No errors reported,,"no errors"</t>
  </si>
  <si>
    <t>79,Tetrachloroethene (PCE),1999,Yan &amp; Schwartz,4,Some indication of methodology,0.003,"triplicate + standard deviation"</t>
  </si>
  <si>
    <t>81,Tetrachloroethene (PCE),2000,Hood et al,2,Inaccessible or unverifiable,0.011,"Small mention, can't find this number or SI"</t>
  </si>
  <si>
    <t>96,Tetrachloroethene (PCE),2001,Huang et al,4,Some indication of methodology,0.004,"duplicate + linear regression"</t>
  </si>
  <si>
    <t>102,Tetrachloroethene (PCE),2002,Poulson &amp; Naraoka,2,Inaccessible or unverifiable,0.011,"Cannot find this number or SI"</t>
  </si>
  <si>
    <t>131,Tetrachloroethene (PCE),2006,Waldemer &amp; Tratnyek,2,Inaccessible or unverifiable,0.003,"Numbers don't match, possibly wrong compound"</t>
  </si>
  <si>
    <t>325,Tetrachloroethene (PCE),2002,Dai &amp; Reitsma,4,Some indication of methodology,0.002,"linear regression for kobs"</t>
  </si>
  <si>
    <t>178,Tetracycline,2010,Gibson,2,Inaccessible or unverifiable,3.1,"Can't access"</t>
  </si>
  <si>
    <t>66,Toluene,1995,Gardner &amp; Mayer,1,No errors reported,,"no errors"</t>
  </si>
  <si>
    <t>67,Toluene,1996,Gardner,1,No errors reported,,"no errors"</t>
  </si>
  <si>
    <t>87,Toluene,1996,Rudakov et al,2,Inaccessible or unverifiable,1.00E-05,"paper not available"</t>
  </si>
  <si>
    <t>116,Toluene,2004,Forsey,4,Some indication of methodology,5.00E-04,"95% confidence intervals from linear regression"</t>
  </si>
  <si>
    <t>138,Toluene,2006,Waldemer &amp; Tratnyek,1,No errors reported,,"no errors"</t>
  </si>
  <si>
    <t>258,Toluene,2014,Mahmoodlu,1,No errors reported,,"no errors"</t>
  </si>
  <si>
    <t>76,trans-Dichloroethene (trans-DCE),1999,Yan &amp; Schwartz,4,Some indication of methodology,2.0,"triplicate + standard deviation"</t>
  </si>
  <si>
    <t>100,trans-Dichloroethene (trans-DCE),2001,Huang et al,4,Some indication of methodology,0.9,"duplicate + linear regression"</t>
  </si>
  <si>
    <t>143,trans-Dichloroethene (trans-DCE),2006,Waldemer &amp; Tratnyek,4,Some indication of methodology,3.0,"3 experiments with replicates, linear regression"</t>
  </si>
  <si>
    <t>74,Trichloroethene (TCE),1998,Tratnyek et al,1,No errors reported,,"no errors"</t>
  </si>
  <si>
    <t>75,Trichloroethene (TCE),1998,Yan &amp; Schwartz,4,Some indication of methodology,0.02,"standard deviation for estimated constants"</t>
  </si>
  <si>
    <t>78,Trichloroethene (TCE),1999,Yan &amp; Schwartz,4,Some indication of methodology,0.03,"triplicate + standard deviation"</t>
  </si>
  <si>
    <t>95,Trichloroethene (TCE),2000,Yan &amp; Schwartz,4,Some indication of methodology,0.03,"standard deviation for estimated constants"</t>
  </si>
  <si>
    <t>97,Trichloroethene (TCE),2001,Huang et al,4,Some indication of methodology,0.12,"duplicate + linear regression"</t>
  </si>
  <si>
    <t>103,Trichloroethene (TCE),2002,Poulson &amp; Naraoka,2,Inaccessible or unverifiable,0.01,"Cannot find this number or SI"</t>
  </si>
  <si>
    <t>132,Trichloroethene (TCE),2006,Waldemer &amp; Tratnyek,4,Some indication of methodology,0.03,"4 experiments in duplicate, linear regression"</t>
  </si>
  <si>
    <t>257,Trichloroethene (TCE),2014,Mahmoodlu,1,No errors reported,,"no errors"</t>
  </si>
  <si>
    <t>262,Trichloroethene (TCE),2015,Liang et al,1,No errors reported,,"no errors"</t>
  </si>
  <si>
    <t>314,Trichloroethene (TCE),1993,Vella &amp; Veronda,4,Some indication of methodology,0.06,"Not available but error given"</t>
  </si>
  <si>
    <t>315,Trichloroethene (TCE),2008,Kao et al,1,No errors reported,,"no errors"</t>
  </si>
  <si>
    <t>316,Trichloroethene (TCE),2008,Urynowicz,4,Some indication of methodology,0.07,"Pseudo first order, no mention of errors"</t>
  </si>
  <si>
    <t>323,Trichloroethene (TCE),1999,Huang et al,2,Inaccessible or unverifiable,0.03,"No access to article"</t>
  </si>
  <si>
    <t>324,Trichloroethene (TCE),2003,Hunkeler et al.,1,No errors reported,,"no errors"</t>
  </si>
  <si>
    <t>161,Triclosan,2009,Jiang et al,4,Some indication of methodology,6,"standard deviations for triplicates within 5% not shown"</t>
  </si>
  <si>
    <t>173,Triclosan,2010,Gibson,2,Inaccessible or unverifiable,26,"Can't access"</t>
  </si>
  <si>
    <t>264,Triclosan,2016,Chen et al,2,Inaccessible or unverifiable,0.00017,"Cannot find this number"</t>
  </si>
  <si>
    <t>285,Triclosan,2018,Li et al,4,Some indication of methodology,3,"nonlinear least square regression"</t>
  </si>
  <si>
    <t>186,Trimethoprim,2010,Gibson,2,Inaccessible or unverifiable,0.36,"Can't access"</t>
  </si>
  <si>
    <t>214,Trimethoprim,2010,Hu et al,4,Some indication of methodology,0.10,"Linear regression, 1 sigma uncertainties"</t>
  </si>
  <si>
    <t>209,Tris(2-carboxyethyl)phosphine (TCEP),2010,Gibson,1,No errors reported,,"Estimated &lt;1.8E-3, no errors"</t>
  </si>
  <si>
    <t>48,Uracil,1981,Freeman et al,1,No errors reported,,"no errors"</t>
  </si>
  <si>
    <t>297,Urethane,2019,Laszakovits &amp; MacKay,1,No errors reported,,"Unreactive, no errors"</t>
  </si>
  <si>
    <t>9,Vinylacetate (Anion),1966,Wiberg &amp; Geer,4,Some indication of methodology,6,"9 experiments"</t>
  </si>
  <si>
    <t>This is for testing log normality using a much bigger data set than for Huange et al. 2001.</t>
  </si>
  <si>
    <t>error</t>
  </si>
  <si>
    <t>method</t>
  </si>
  <si>
    <t>Stopped Flow</t>
  </si>
  <si>
    <t>m-Cresol</t>
  </si>
  <si>
    <t>p-Cresol</t>
  </si>
  <si>
    <t>cv</t>
  </si>
  <si>
    <t>ln(k')</t>
  </si>
  <si>
    <t>k' (M^-1 s^-1)</t>
  </si>
  <si>
    <t>upper bound</t>
  </si>
  <si>
    <t>lower bound</t>
  </si>
  <si>
    <t>sigma logified</t>
  </si>
  <si>
    <t>delta</t>
  </si>
  <si>
    <t>Below IDK</t>
  </si>
  <si>
    <t>original Ea</t>
  </si>
  <si>
    <t>original error</t>
  </si>
  <si>
    <t>rooted variance</t>
  </si>
  <si>
    <t>k1 (s-1)</t>
  </si>
  <si>
    <t>ln(k1)</t>
  </si>
  <si>
    <t>mean k1</t>
  </si>
  <si>
    <t>std k1</t>
  </si>
  <si>
    <t>CV % k2</t>
  </si>
  <si>
    <t>Reanalysis</t>
  </si>
  <si>
    <t>Value</t>
  </si>
  <si>
    <t>Upper</t>
  </si>
  <si>
    <t>Lower</t>
  </si>
  <si>
    <t>ln(k2) constant across T</t>
  </si>
  <si>
    <t>variance (base uncertainity)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</si>
</sst>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00"/>
    <numFmt numFmtId="166" formatCode="0.000"/>
    <numFmt numFmtId="167" formatCode="0.0000"/>
    <numFmt numFmtId="168" formatCode="0.0000000"/>
    <numFmt numFmtId="169" formatCode="0.000000"/>
  </numFmts>
  <fonts count="9" x14ac:knownFonts="1">
    <font>
      <sz val="12"/>
      <color theme="1"/>
      <name val="Aptos Narrow"/>
      <family val="2"/>
      <scheme val="minor"/>
    </font>
    <font>
      <sz val="11"/>
      <color theme="1"/>
      <name val="Arial"/>
      <family val="2"/>
    </font>
    <font>
      <b/>
      <sz val="11"/>
      <color theme="1"/>
      <name val="Arial"/>
      <family val="2"/>
    </font>
    <font>
      <i/>
      <sz val="11"/>
      <color theme="1"/>
      <name val="Arial"/>
      <family val="2"/>
    </font>
    <font>
      <sz val="11"/>
      <color rgb="FF000000"/>
      <name val="Arial"/>
      <family val="2"/>
    </font>
    <font>
      <sz val="9"/>
      <color rgb="FF000000"/>
      <name val="Arial"/>
      <family val="34"/>
    </font>
    <font>
      <sz val="10"/>
      <color rgb="FF000000"/>
      <name val="Tahoma"/>
      <family val="2"/>
    </font>
    <font>
      <sz val="8"/>
      <name val="Aptos Narrow"/>
      <family val="2"/>
      <scheme val="minor"/>
    </font>
    <font>
      <sz val="12"/>
      <color rgb="FF000000"/>
      <name val="Aptos Narrow"/>
      <family val="2"/>
      <scheme val="minor"/>
    </font>
  </fonts>
  <fills count="2">
    <fill>
      <patternFill patternType="none"/>
    </fill>
    <fill>
      <patternFill patternType="gray125"/>
    </fill>
  </fills>
  <borders count="8">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6">
    <xf numFmtId="0" fontId="0" fillId="0" borderId="0" xfId="0"/>
    <xf numFmtId="0" fontId="0" fillId="0" borderId="0" xfId="0" applyAlignment="1">
      <alignment vertical="top" wrapText="1"/>
    </xf>
    <xf numFmtId="0" fontId="0" fillId="0" borderId="0" xfId="0" applyAlignment="1">
      <alignment vertical="top"/>
    </xf>
    <xf numFmtId="11" fontId="0" fillId="0" borderId="0" xfId="0" applyNumberFormat="1" applyAlignment="1">
      <alignment vertical="top"/>
    </xf>
    <xf numFmtId="2" fontId="0" fillId="0" borderId="0" xfId="0" applyNumberFormat="1" applyAlignment="1">
      <alignment vertical="top"/>
    </xf>
    <xf numFmtId="0" fontId="1" fillId="0" borderId="0" xfId="0" applyFont="1"/>
    <xf numFmtId="0" fontId="2" fillId="0" borderId="0" xfId="0" applyFont="1"/>
    <xf numFmtId="1" fontId="1" fillId="0" borderId="0" xfId="0" applyNumberFormat="1" applyFont="1" applyAlignment="1">
      <alignment horizontal="center"/>
    </xf>
    <xf numFmtId="0" fontId="2" fillId="0" borderId="1" xfId="0" applyFont="1" applyBorder="1"/>
    <xf numFmtId="0" fontId="2" fillId="0" borderId="2" xfId="0" applyFont="1" applyBorder="1" applyAlignment="1">
      <alignment horizontal="center"/>
    </xf>
    <xf numFmtId="0" fontId="2" fillId="0" borderId="0" xfId="0" applyFont="1" applyAlignment="1">
      <alignment horizontal="center"/>
    </xf>
    <xf numFmtId="0" fontId="2" fillId="0" borderId="1" xfId="0" applyFont="1" applyBorder="1" applyAlignment="1">
      <alignment horizontal="center"/>
    </xf>
    <xf numFmtId="0" fontId="2" fillId="0" borderId="2" xfId="0" applyFont="1" applyBorder="1" applyAlignment="1">
      <alignment horizontal="left"/>
    </xf>
    <xf numFmtId="0" fontId="2" fillId="0" borderId="0" xfId="0" applyFont="1" applyAlignment="1">
      <alignment horizontal="left"/>
    </xf>
    <xf numFmtId="1" fontId="2" fillId="0" borderId="3" xfId="0" applyNumberFormat="1" applyFont="1" applyBorder="1" applyAlignment="1">
      <alignment horizontal="center"/>
    </xf>
    <xf numFmtId="0" fontId="1" fillId="0" borderId="2" xfId="0" applyFont="1" applyBorder="1" applyAlignment="1">
      <alignment horizontal="center"/>
    </xf>
    <xf numFmtId="0" fontId="1" fillId="0" borderId="1" xfId="0" applyFont="1" applyBorder="1"/>
    <xf numFmtId="164" fontId="1" fillId="0" borderId="0" xfId="0" applyNumberFormat="1" applyFont="1" applyAlignment="1">
      <alignment horizontal="center"/>
    </xf>
    <xf numFmtId="0" fontId="1" fillId="0" borderId="1" xfId="0" applyFont="1" applyBorder="1" applyAlignment="1">
      <alignment horizontal="center"/>
    </xf>
    <xf numFmtId="0" fontId="1" fillId="0" borderId="0" xfId="0" applyFont="1" applyAlignment="1">
      <alignment horizontal="center"/>
    </xf>
    <xf numFmtId="0" fontId="1" fillId="0" borderId="2" xfId="0" applyFont="1" applyBorder="1"/>
    <xf numFmtId="165" fontId="1" fillId="0" borderId="0" xfId="0" applyNumberFormat="1" applyFont="1" applyAlignment="1">
      <alignment horizontal="center"/>
    </xf>
    <xf numFmtId="1" fontId="3" fillId="0" borderId="3" xfId="0" applyNumberFormat="1" applyFont="1" applyBorder="1" applyAlignment="1">
      <alignment horizontal="center"/>
    </xf>
    <xf numFmtId="2" fontId="1" fillId="0" borderId="0" xfId="0" applyNumberFormat="1" applyFont="1" applyAlignment="1">
      <alignment horizontal="center"/>
    </xf>
    <xf numFmtId="11" fontId="1" fillId="0" borderId="0" xfId="0" applyNumberFormat="1" applyFont="1" applyAlignment="1">
      <alignment horizontal="center"/>
    </xf>
    <xf numFmtId="1" fontId="1" fillId="0" borderId="3" xfId="0" applyNumberFormat="1" applyFont="1" applyBorder="1" applyAlignment="1">
      <alignment horizontal="center"/>
    </xf>
    <xf numFmtId="166" fontId="1" fillId="0" borderId="0" xfId="0" applyNumberFormat="1" applyFont="1" applyAlignment="1">
      <alignment horizontal="center"/>
    </xf>
    <xf numFmtId="167" fontId="1" fillId="0" borderId="0" xfId="0" applyNumberFormat="1" applyFont="1" applyAlignment="1">
      <alignment horizontal="center"/>
    </xf>
    <xf numFmtId="16" fontId="1" fillId="0" borderId="1" xfId="0" applyNumberFormat="1" applyFont="1" applyBorder="1" applyAlignment="1">
      <alignment horizontal="center"/>
    </xf>
    <xf numFmtId="0" fontId="4" fillId="0" borderId="1" xfId="0" applyFont="1" applyBorder="1"/>
    <xf numFmtId="1" fontId="1" fillId="0" borderId="1" xfId="0" applyNumberFormat="1" applyFont="1" applyBorder="1" applyAlignment="1">
      <alignment horizontal="center"/>
    </xf>
    <xf numFmtId="1" fontId="1" fillId="0" borderId="2" xfId="0" applyNumberFormat="1" applyFont="1" applyBorder="1"/>
    <xf numFmtId="168" fontId="1" fillId="0" borderId="0" xfId="0" applyNumberFormat="1" applyFont="1" applyAlignment="1">
      <alignment horizontal="center"/>
    </xf>
    <xf numFmtId="169" fontId="1" fillId="0" borderId="0" xfId="0" applyNumberFormat="1" applyFont="1" applyAlignment="1">
      <alignment horizontal="center"/>
    </xf>
    <xf numFmtId="0" fontId="1" fillId="0" borderId="0" xfId="0" applyFont="1" applyAlignment="1">
      <alignment horizontal="left"/>
    </xf>
    <xf numFmtId="0" fontId="1" fillId="0" borderId="4" xfId="0" applyFont="1" applyBorder="1" applyAlignment="1">
      <alignment horizontal="center"/>
    </xf>
    <xf numFmtId="0" fontId="1" fillId="0" borderId="5" xfId="0" applyFont="1" applyBorder="1"/>
    <xf numFmtId="0" fontId="1" fillId="0" borderId="6" xfId="0" applyFont="1" applyBorder="1" applyAlignment="1">
      <alignment horizontal="center"/>
    </xf>
    <xf numFmtId="0" fontId="1" fillId="0" borderId="5" xfId="0" applyFont="1" applyBorder="1" applyAlignment="1">
      <alignment horizontal="center"/>
    </xf>
    <xf numFmtId="0" fontId="1" fillId="0" borderId="4" xfId="0" applyFont="1" applyBorder="1"/>
    <xf numFmtId="1" fontId="3" fillId="0" borderId="7" xfId="0" applyNumberFormat="1" applyFont="1" applyBorder="1" applyAlignment="1">
      <alignment horizontal="center"/>
    </xf>
    <xf numFmtId="0" fontId="1" fillId="0" borderId="6" xfId="0" applyFont="1" applyBorder="1"/>
    <xf numFmtId="1" fontId="1" fillId="0" borderId="6" xfId="0" applyNumberFormat="1" applyFont="1" applyBorder="1" applyAlignment="1">
      <alignment horizontal="center"/>
    </xf>
    <xf numFmtId="0" fontId="0" fillId="0" borderId="0" xfId="0" applyAlignment="1">
      <alignment wrapText="1"/>
    </xf>
    <xf numFmtId="0" fontId="0" fillId="0" borderId="0" xfId="0" applyAlignment="1">
      <alignment horizontal="left" vertical="center" wrapText="1"/>
    </xf>
    <xf numFmtId="0" fontId="2" fillId="0" borderId="0" xfId="0" applyFont="1" applyAlignment="1">
      <alignment horizontal="center" vertical="center" wrapText="1"/>
    </xf>
    <xf numFmtId="2" fontId="1" fillId="0" borderId="0" xfId="0" applyNumberFormat="1" applyFont="1" applyAlignment="1">
      <alignment horizontal="left" vertical="center" wrapText="1"/>
    </xf>
    <xf numFmtId="11" fontId="1" fillId="0" borderId="0" xfId="0" applyNumberFormat="1" applyFont="1" applyAlignment="1">
      <alignment horizontal="left" vertical="center" wrapText="1"/>
    </xf>
    <xf numFmtId="164" fontId="1" fillId="0" borderId="0" xfId="0" applyNumberFormat="1" applyFont="1" applyAlignment="1">
      <alignment horizontal="left" vertical="center" wrapText="1"/>
    </xf>
    <xf numFmtId="166" fontId="1" fillId="0" borderId="0" xfId="0" applyNumberFormat="1" applyFont="1" applyAlignment="1">
      <alignment horizontal="left" vertical="center" wrapText="1"/>
    </xf>
    <xf numFmtId="1" fontId="1" fillId="0" borderId="0" xfId="0" applyNumberFormat="1" applyFont="1" applyAlignment="1">
      <alignment horizontal="left" vertical="center" wrapText="1"/>
    </xf>
    <xf numFmtId="0" fontId="1" fillId="0" borderId="0" xfId="0" applyFont="1" applyAlignment="1">
      <alignment horizontal="left" vertical="center" wrapText="1"/>
    </xf>
    <xf numFmtId="1" fontId="1" fillId="0" borderId="6" xfId="0" applyNumberFormat="1" applyFont="1" applyBorder="1" applyAlignment="1">
      <alignment horizontal="left" vertical="center" wrapText="1"/>
    </xf>
    <xf numFmtId="166" fontId="0" fillId="0" borderId="0" xfId="0" applyNumberFormat="1"/>
    <xf numFmtId="11" fontId="0" fillId="0" borderId="0" xfId="0" applyNumberForma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74CDD-874A-324D-89CA-2C9E67714588}">
  <dimension ref="A1:J166"/>
  <sheetViews>
    <sheetView zoomScale="61" workbookViewId="0">
      <selection activeCell="I3" sqref="I3"/>
    </sheetView>
  </sheetViews>
  <sheetFormatPr baseColWidth="10" defaultRowHeight="16" x14ac:dyDescent="0.2"/>
  <cols>
    <col min="1" max="3" width="10.83203125" style="2"/>
    <col min="4" max="4" width="10.83203125" style="4"/>
    <col min="5" max="5" width="10.83203125" style="2"/>
    <col min="6" max="6" width="50" style="1" customWidth="1"/>
    <col min="7" max="7" width="17.83203125" style="1" customWidth="1"/>
    <col min="8" max="8" width="14.33203125" style="2" bestFit="1" customWidth="1"/>
    <col min="9" max="9" width="44.5" style="1" customWidth="1"/>
    <col min="10" max="10" width="10.83203125" style="2"/>
  </cols>
  <sheetData>
    <row r="1" spans="1:10" ht="17" x14ac:dyDescent="0.2">
      <c r="A1" s="2" t="s">
        <v>0</v>
      </c>
      <c r="B1" s="2" t="s">
        <v>1</v>
      </c>
      <c r="C1" s="2" t="s">
        <v>2</v>
      </c>
      <c r="D1" s="4" t="s">
        <v>3</v>
      </c>
      <c r="E1" s="2" t="s">
        <v>4</v>
      </c>
      <c r="F1" s="1" t="s">
        <v>5</v>
      </c>
      <c r="G1" s="1" t="s">
        <v>250</v>
      </c>
      <c r="H1" s="2" t="s">
        <v>253</v>
      </c>
      <c r="I1" s="1" t="s">
        <v>255</v>
      </c>
      <c r="J1" s="1" t="s">
        <v>257</v>
      </c>
    </row>
    <row r="2" spans="1:10" ht="85" x14ac:dyDescent="0.2">
      <c r="A2" s="2" t="s">
        <v>6</v>
      </c>
      <c r="B2" s="2">
        <v>1.4E-2</v>
      </c>
      <c r="C2" s="2">
        <v>2E-3</v>
      </c>
      <c r="D2" s="4">
        <v>5.6</v>
      </c>
      <c r="E2" s="2">
        <v>21</v>
      </c>
      <c r="F2" s="1" t="s">
        <v>252</v>
      </c>
      <c r="G2" s="1" t="s">
        <v>251</v>
      </c>
      <c r="H2" s="2" t="s">
        <v>254</v>
      </c>
      <c r="I2" s="1" t="s">
        <v>256</v>
      </c>
      <c r="J2" s="1" t="s">
        <v>258</v>
      </c>
    </row>
    <row r="3" spans="1:10" ht="306" x14ac:dyDescent="0.2">
      <c r="A3" s="2" t="s">
        <v>8</v>
      </c>
      <c r="B3" s="2">
        <v>2.2400000000000002</v>
      </c>
      <c r="C3" s="2">
        <v>0.24</v>
      </c>
      <c r="D3" s="4" t="s">
        <v>9</v>
      </c>
      <c r="E3" s="2">
        <v>21</v>
      </c>
      <c r="F3" s="1" t="s">
        <v>10</v>
      </c>
      <c r="H3" s="1" t="s">
        <v>260</v>
      </c>
      <c r="I3" s="1" t="s">
        <v>309</v>
      </c>
      <c r="J3" s="2" t="s">
        <v>259</v>
      </c>
    </row>
    <row r="4" spans="1:10" ht="85" x14ac:dyDescent="0.2">
      <c r="A4" s="2" t="s">
        <v>11</v>
      </c>
      <c r="B4" s="3">
        <v>8.8999999999999995E-4</v>
      </c>
      <c r="C4" s="3">
        <v>3.0000000000000001E-5</v>
      </c>
      <c r="D4" s="4">
        <v>45843</v>
      </c>
      <c r="E4" s="2">
        <v>20</v>
      </c>
      <c r="F4" s="1" t="s">
        <v>12</v>
      </c>
    </row>
    <row r="5" spans="1:10" ht="85" x14ac:dyDescent="0.2">
      <c r="A5" s="2" t="s">
        <v>13</v>
      </c>
      <c r="B5" s="3">
        <v>2.2799999999999999E-3</v>
      </c>
      <c r="C5" s="3">
        <v>9.0000000000000006E-5</v>
      </c>
      <c r="D5" s="4">
        <v>45843</v>
      </c>
      <c r="E5" s="2">
        <v>20</v>
      </c>
      <c r="F5" s="1" t="s">
        <v>12</v>
      </c>
    </row>
    <row r="6" spans="1:10" ht="85" x14ac:dyDescent="0.2">
      <c r="A6" s="2" t="s">
        <v>14</v>
      </c>
      <c r="B6" s="3">
        <v>5.9999999999999995E-4</v>
      </c>
      <c r="C6" s="3">
        <v>3.0000000000000001E-5</v>
      </c>
      <c r="D6" s="4">
        <v>45843</v>
      </c>
      <c r="E6" s="2">
        <v>20</v>
      </c>
      <c r="F6" s="1" t="s">
        <v>12</v>
      </c>
    </row>
    <row r="7" spans="1:10" ht="85" x14ac:dyDescent="0.2">
      <c r="A7" s="2" t="s">
        <v>15</v>
      </c>
      <c r="B7" s="3">
        <v>1.01E-3</v>
      </c>
      <c r="C7" s="3">
        <v>4.0000000000000003E-5</v>
      </c>
      <c r="D7" s="4">
        <v>45843</v>
      </c>
      <c r="E7" s="2">
        <v>20</v>
      </c>
      <c r="F7" s="1" t="s">
        <v>12</v>
      </c>
    </row>
    <row r="8" spans="1:10" ht="85" x14ac:dyDescent="0.2">
      <c r="A8" s="2" t="s">
        <v>16</v>
      </c>
      <c r="B8" s="3">
        <v>1.15E-3</v>
      </c>
      <c r="C8" s="3">
        <v>5.0000000000000002E-5</v>
      </c>
      <c r="D8" s="4">
        <v>45843</v>
      </c>
      <c r="E8" s="2">
        <v>20</v>
      </c>
      <c r="F8" s="1" t="s">
        <v>12</v>
      </c>
    </row>
    <row r="9" spans="1:10" ht="51" x14ac:dyDescent="0.2">
      <c r="A9" s="2" t="s">
        <v>17</v>
      </c>
      <c r="B9" s="2">
        <v>1.1000000000000001</v>
      </c>
      <c r="C9" s="2">
        <v>0.1</v>
      </c>
      <c r="D9" s="4">
        <v>5.6</v>
      </c>
      <c r="E9" s="2">
        <v>23</v>
      </c>
      <c r="F9" s="1" t="s">
        <v>18</v>
      </c>
    </row>
    <row r="10" spans="1:10" ht="119" x14ac:dyDescent="0.2">
      <c r="A10" s="2" t="s">
        <v>19</v>
      </c>
      <c r="B10" s="2">
        <v>30</v>
      </c>
      <c r="C10" s="2">
        <v>9.9</v>
      </c>
      <c r="D10" s="4">
        <v>7</v>
      </c>
      <c r="E10" s="2">
        <v>25</v>
      </c>
      <c r="F10" s="1" t="s">
        <v>20</v>
      </c>
    </row>
    <row r="11" spans="1:10" ht="153" x14ac:dyDescent="0.2">
      <c r="A11" s="2" t="s">
        <v>21</v>
      </c>
      <c r="B11" s="2">
        <v>18</v>
      </c>
      <c r="C11" s="2">
        <v>5.5</v>
      </c>
      <c r="D11" s="4" t="s">
        <v>22</v>
      </c>
      <c r="E11" s="2" t="s">
        <v>23</v>
      </c>
      <c r="F11" s="1" t="s">
        <v>24</v>
      </c>
    </row>
    <row r="12" spans="1:10" ht="51" x14ac:dyDescent="0.2">
      <c r="A12" s="2" t="s">
        <v>21</v>
      </c>
      <c r="B12" s="2">
        <v>74</v>
      </c>
      <c r="C12" s="2">
        <v>7</v>
      </c>
      <c r="D12" s="4">
        <v>7</v>
      </c>
      <c r="E12" s="2">
        <v>25</v>
      </c>
      <c r="F12" s="1" t="s">
        <v>25</v>
      </c>
    </row>
    <row r="13" spans="1:10" ht="51" x14ac:dyDescent="0.2">
      <c r="A13" s="2" t="s">
        <v>26</v>
      </c>
      <c r="B13" s="2">
        <v>1.7999999999999999E-2</v>
      </c>
      <c r="C13" s="2">
        <v>3.0000000000000001E-3</v>
      </c>
      <c r="D13" s="4">
        <v>5.6</v>
      </c>
      <c r="E13" s="2">
        <v>21</v>
      </c>
      <c r="F13" s="1" t="s">
        <v>7</v>
      </c>
    </row>
    <row r="14" spans="1:10" ht="51" x14ac:dyDescent="0.2">
      <c r="A14" s="2" t="s">
        <v>27</v>
      </c>
      <c r="B14" s="2">
        <v>85.1</v>
      </c>
      <c r="C14" s="2">
        <v>6.1</v>
      </c>
      <c r="D14" s="4">
        <v>7</v>
      </c>
      <c r="E14" s="2">
        <v>25</v>
      </c>
      <c r="F14" s="1" t="s">
        <v>28</v>
      </c>
    </row>
    <row r="15" spans="1:10" ht="102" x14ac:dyDescent="0.2">
      <c r="A15" s="2" t="s">
        <v>29</v>
      </c>
      <c r="B15" s="2">
        <v>0.27</v>
      </c>
      <c r="C15" s="2">
        <v>0.04</v>
      </c>
      <c r="D15" s="4" t="s">
        <v>30</v>
      </c>
      <c r="E15" s="2" t="s">
        <v>31</v>
      </c>
      <c r="F15" s="1" t="s">
        <v>32</v>
      </c>
    </row>
    <row r="16" spans="1:10" ht="51" x14ac:dyDescent="0.2">
      <c r="A16" s="2" t="s">
        <v>33</v>
      </c>
      <c r="B16" s="2">
        <v>242</v>
      </c>
      <c r="C16" s="2">
        <v>12</v>
      </c>
      <c r="D16" s="4">
        <v>13</v>
      </c>
      <c r="E16" s="2">
        <v>25</v>
      </c>
      <c r="F16" s="1" t="s">
        <v>34</v>
      </c>
    </row>
    <row r="17" spans="1:6" ht="51" x14ac:dyDescent="0.2">
      <c r="A17" s="2" t="s">
        <v>35</v>
      </c>
      <c r="B17" s="2">
        <v>77</v>
      </c>
      <c r="C17" s="2">
        <v>5</v>
      </c>
      <c r="D17" s="4">
        <v>7</v>
      </c>
      <c r="E17" s="2">
        <v>25</v>
      </c>
      <c r="F17" s="1" t="s">
        <v>25</v>
      </c>
    </row>
    <row r="18" spans="1:6" ht="68" x14ac:dyDescent="0.2">
      <c r="A18" s="2" t="s">
        <v>36</v>
      </c>
      <c r="B18" s="2">
        <v>17</v>
      </c>
      <c r="C18" s="2">
        <v>4</v>
      </c>
      <c r="D18" s="4">
        <v>7</v>
      </c>
      <c r="E18" s="2">
        <v>25</v>
      </c>
      <c r="F18" s="1" t="s">
        <v>37</v>
      </c>
    </row>
    <row r="19" spans="1:6" ht="119" x14ac:dyDescent="0.2">
      <c r="A19" s="2" t="s">
        <v>38</v>
      </c>
      <c r="B19" s="2">
        <v>18.899999999999999</v>
      </c>
      <c r="C19" s="2">
        <v>0.3</v>
      </c>
      <c r="D19" s="4">
        <v>7</v>
      </c>
      <c r="E19" s="2" t="s">
        <v>39</v>
      </c>
      <c r="F19" s="1" t="s">
        <v>40</v>
      </c>
    </row>
    <row r="20" spans="1:6" ht="68" x14ac:dyDescent="0.2">
      <c r="A20" s="2" t="s">
        <v>38</v>
      </c>
      <c r="B20" s="2">
        <v>3.8</v>
      </c>
      <c r="C20" s="2">
        <v>0.03</v>
      </c>
      <c r="D20" s="4">
        <v>5.3</v>
      </c>
      <c r="E20" s="2">
        <v>22</v>
      </c>
      <c r="F20" s="1" t="s">
        <v>41</v>
      </c>
    </row>
    <row r="21" spans="1:6" ht="51" x14ac:dyDescent="0.2">
      <c r="A21" s="2" t="s">
        <v>38</v>
      </c>
      <c r="B21" s="2">
        <v>142</v>
      </c>
      <c r="C21" s="2">
        <v>3</v>
      </c>
      <c r="D21" s="4">
        <v>7</v>
      </c>
      <c r="E21" s="2">
        <v>25</v>
      </c>
      <c r="F21" s="1" t="s">
        <v>25</v>
      </c>
    </row>
    <row r="22" spans="1:6" ht="51" x14ac:dyDescent="0.2">
      <c r="A22" s="2" t="s">
        <v>42</v>
      </c>
      <c r="B22" s="2">
        <v>0.06</v>
      </c>
      <c r="C22" s="2">
        <v>6.0000000000000001E-3</v>
      </c>
      <c r="D22" s="4">
        <v>7</v>
      </c>
      <c r="E22" s="2">
        <v>25</v>
      </c>
      <c r="F22" s="1" t="s">
        <v>25</v>
      </c>
    </row>
    <row r="23" spans="1:6" ht="51" x14ac:dyDescent="0.2">
      <c r="A23" s="2" t="s">
        <v>43</v>
      </c>
      <c r="B23" s="2">
        <v>120</v>
      </c>
      <c r="C23" s="2">
        <v>9</v>
      </c>
      <c r="D23" s="4">
        <v>7</v>
      </c>
      <c r="E23" s="2">
        <v>25</v>
      </c>
      <c r="F23" s="1" t="s">
        <v>25</v>
      </c>
    </row>
    <row r="24" spans="1:6" ht="17" x14ac:dyDescent="0.2">
      <c r="A24" s="2" t="s">
        <v>44</v>
      </c>
      <c r="B24" s="2">
        <v>88</v>
      </c>
      <c r="C24" s="2">
        <v>5.5</v>
      </c>
      <c r="D24" s="4">
        <v>5.3</v>
      </c>
      <c r="E24" s="2">
        <v>23</v>
      </c>
      <c r="F24" s="1" t="s">
        <v>45</v>
      </c>
    </row>
    <row r="25" spans="1:6" ht="51" x14ac:dyDescent="0.2">
      <c r="A25" s="2" t="s">
        <v>46</v>
      </c>
      <c r="B25" s="3">
        <v>1.1999999999999999E-3</v>
      </c>
      <c r="C25" s="3">
        <v>2.0000000000000002E-5</v>
      </c>
      <c r="D25" s="4">
        <v>7</v>
      </c>
      <c r="E25" s="2">
        <v>25</v>
      </c>
      <c r="F25" s="1" t="s">
        <v>47</v>
      </c>
    </row>
    <row r="26" spans="1:6" ht="68" x14ac:dyDescent="0.2">
      <c r="A26" s="2" t="s">
        <v>48</v>
      </c>
      <c r="B26" s="2">
        <v>49</v>
      </c>
      <c r="C26" s="2">
        <v>4</v>
      </c>
      <c r="D26" s="4">
        <v>7</v>
      </c>
      <c r="E26" s="2">
        <v>25</v>
      </c>
      <c r="F26" s="1" t="s">
        <v>37</v>
      </c>
    </row>
    <row r="27" spans="1:6" ht="119" x14ac:dyDescent="0.2">
      <c r="A27" s="2" t="s">
        <v>49</v>
      </c>
      <c r="B27" s="2">
        <v>38</v>
      </c>
      <c r="C27" s="2">
        <v>8</v>
      </c>
      <c r="D27" s="4" t="s">
        <v>50</v>
      </c>
      <c r="E27" s="2" t="s">
        <v>51</v>
      </c>
      <c r="F27" s="1" t="s">
        <v>52</v>
      </c>
    </row>
    <row r="28" spans="1:6" ht="68" x14ac:dyDescent="0.2">
      <c r="A28" s="2" t="s">
        <v>49</v>
      </c>
      <c r="B28" s="2">
        <v>12.9</v>
      </c>
      <c r="C28" s="2">
        <v>4.2000000000000003E-2</v>
      </c>
      <c r="D28" s="4">
        <v>5.3</v>
      </c>
      <c r="E28" s="2">
        <v>22</v>
      </c>
      <c r="F28" s="1" t="s">
        <v>41</v>
      </c>
    </row>
    <row r="29" spans="1:6" ht="51" x14ac:dyDescent="0.2">
      <c r="A29" s="2" t="s">
        <v>49</v>
      </c>
      <c r="B29" s="2">
        <v>357</v>
      </c>
      <c r="C29" s="2">
        <v>17</v>
      </c>
      <c r="D29" s="4">
        <v>7</v>
      </c>
      <c r="E29" s="2">
        <v>25</v>
      </c>
      <c r="F29" s="1" t="s">
        <v>53</v>
      </c>
    </row>
    <row r="30" spans="1:6" ht="17" x14ac:dyDescent="0.2">
      <c r="A30" s="2" t="s">
        <v>54</v>
      </c>
      <c r="B30" s="2">
        <v>399</v>
      </c>
      <c r="C30" s="2">
        <v>58</v>
      </c>
      <c r="D30" s="4">
        <v>5.3</v>
      </c>
      <c r="E30" s="2">
        <v>23</v>
      </c>
      <c r="F30" s="1" t="s">
        <v>45</v>
      </c>
    </row>
    <row r="31" spans="1:6" ht="51" x14ac:dyDescent="0.2">
      <c r="A31" s="2" t="s">
        <v>55</v>
      </c>
      <c r="B31" s="2">
        <v>684</v>
      </c>
      <c r="C31" s="2">
        <v>2</v>
      </c>
      <c r="D31" s="4">
        <v>13.7</v>
      </c>
      <c r="E31" s="2">
        <v>15</v>
      </c>
      <c r="F31" s="1" t="s">
        <v>56</v>
      </c>
    </row>
    <row r="32" spans="1:6" ht="119" x14ac:dyDescent="0.2">
      <c r="A32" s="2" t="s">
        <v>57</v>
      </c>
      <c r="B32" s="2">
        <v>2.2000000000000002</v>
      </c>
      <c r="C32" s="2">
        <v>1.1299999999999999</v>
      </c>
      <c r="D32" s="4">
        <v>7</v>
      </c>
      <c r="E32" s="2">
        <v>25</v>
      </c>
      <c r="F32" s="1" t="s">
        <v>20</v>
      </c>
    </row>
    <row r="33" spans="1:6" ht="51" x14ac:dyDescent="0.2">
      <c r="A33" s="2" t="s">
        <v>58</v>
      </c>
      <c r="B33" s="2">
        <v>855</v>
      </c>
      <c r="C33" s="2">
        <v>4</v>
      </c>
      <c r="D33" s="4">
        <v>11.3</v>
      </c>
      <c r="E33" s="2">
        <v>25</v>
      </c>
      <c r="F33" s="1" t="s">
        <v>56</v>
      </c>
    </row>
    <row r="34" spans="1:6" ht="68" x14ac:dyDescent="0.2">
      <c r="A34" s="2" t="s">
        <v>59</v>
      </c>
      <c r="B34" s="2">
        <v>0.95</v>
      </c>
      <c r="C34" s="2">
        <v>0</v>
      </c>
      <c r="D34" s="4">
        <v>5.3</v>
      </c>
      <c r="E34" s="2">
        <v>22</v>
      </c>
      <c r="F34" s="1" t="s">
        <v>41</v>
      </c>
    </row>
    <row r="35" spans="1:6" ht="51" x14ac:dyDescent="0.2">
      <c r="A35" s="2" t="s">
        <v>59</v>
      </c>
      <c r="B35" s="2">
        <v>13.4</v>
      </c>
      <c r="C35" s="2">
        <v>0.7</v>
      </c>
      <c r="D35" s="4">
        <v>7</v>
      </c>
      <c r="E35" s="2">
        <v>25</v>
      </c>
      <c r="F35" s="1" t="s">
        <v>25</v>
      </c>
    </row>
    <row r="36" spans="1:6" ht="17" x14ac:dyDescent="0.2">
      <c r="A36" s="2" t="s">
        <v>60</v>
      </c>
      <c r="B36" s="2">
        <v>2.67</v>
      </c>
      <c r="C36" s="2">
        <v>0.43</v>
      </c>
      <c r="D36" s="4">
        <v>5.3</v>
      </c>
      <c r="E36" s="2">
        <v>23</v>
      </c>
      <c r="F36" s="1" t="s">
        <v>45</v>
      </c>
    </row>
    <row r="37" spans="1:6" ht="51" x14ac:dyDescent="0.2">
      <c r="A37" s="2" t="s">
        <v>61</v>
      </c>
      <c r="B37" s="2">
        <v>880</v>
      </c>
      <c r="C37" s="2">
        <v>16</v>
      </c>
      <c r="D37" s="4">
        <v>11.3</v>
      </c>
      <c r="E37" s="2">
        <v>25</v>
      </c>
      <c r="F37" s="1" t="s">
        <v>56</v>
      </c>
    </row>
    <row r="38" spans="1:6" ht="51" x14ac:dyDescent="0.2">
      <c r="A38" s="2" t="s">
        <v>62</v>
      </c>
      <c r="B38" s="2">
        <v>305</v>
      </c>
      <c r="C38" s="2">
        <v>13</v>
      </c>
      <c r="D38" s="4">
        <v>7</v>
      </c>
      <c r="E38" s="2">
        <v>25</v>
      </c>
      <c r="F38" s="1" t="s">
        <v>53</v>
      </c>
    </row>
    <row r="39" spans="1:6" ht="51" x14ac:dyDescent="0.2">
      <c r="A39" s="2" t="s">
        <v>63</v>
      </c>
      <c r="B39" s="2">
        <v>23.1</v>
      </c>
      <c r="C39" s="2">
        <v>1.7</v>
      </c>
      <c r="D39" s="4">
        <v>7</v>
      </c>
      <c r="E39" s="2">
        <v>25</v>
      </c>
      <c r="F39" s="1" t="s">
        <v>28</v>
      </c>
    </row>
    <row r="40" spans="1:6" ht="51" x14ac:dyDescent="0.2">
      <c r="A40" s="2" t="s">
        <v>63</v>
      </c>
      <c r="B40" s="2">
        <v>67.3</v>
      </c>
      <c r="C40" s="2">
        <v>3.3</v>
      </c>
      <c r="D40" s="4">
        <v>7</v>
      </c>
      <c r="E40" s="2">
        <v>25</v>
      </c>
      <c r="F40" s="1" t="s">
        <v>53</v>
      </c>
    </row>
    <row r="41" spans="1:6" ht="51" x14ac:dyDescent="0.2">
      <c r="A41" s="2" t="s">
        <v>63</v>
      </c>
      <c r="B41" s="2">
        <v>98</v>
      </c>
      <c r="C41" s="2">
        <v>4</v>
      </c>
      <c r="D41" s="4">
        <v>7</v>
      </c>
      <c r="E41" s="2">
        <v>25</v>
      </c>
      <c r="F41" s="1" t="s">
        <v>25</v>
      </c>
    </row>
    <row r="42" spans="1:6" ht="51" x14ac:dyDescent="0.2">
      <c r="A42" s="2" t="s">
        <v>64</v>
      </c>
      <c r="B42" s="2">
        <v>965</v>
      </c>
      <c r="C42" s="2">
        <v>6</v>
      </c>
      <c r="D42" s="4">
        <v>11.3</v>
      </c>
      <c r="E42" s="2">
        <v>25</v>
      </c>
      <c r="F42" s="1" t="s">
        <v>56</v>
      </c>
    </row>
    <row r="43" spans="1:6" ht="51" x14ac:dyDescent="0.2">
      <c r="A43" s="2" t="s">
        <v>65</v>
      </c>
      <c r="B43" s="2">
        <v>455</v>
      </c>
      <c r="C43" s="2">
        <v>23</v>
      </c>
      <c r="D43" s="4">
        <v>13</v>
      </c>
      <c r="E43" s="2">
        <v>25</v>
      </c>
      <c r="F43" s="1" t="s">
        <v>34</v>
      </c>
    </row>
    <row r="44" spans="1:6" ht="51" x14ac:dyDescent="0.2">
      <c r="A44" s="2" t="s">
        <v>66</v>
      </c>
      <c r="B44" s="2">
        <v>834</v>
      </c>
      <c r="C44" s="2">
        <v>39</v>
      </c>
      <c r="D44" s="4">
        <v>11.3</v>
      </c>
      <c r="E44" s="2">
        <v>25</v>
      </c>
      <c r="F44" s="1" t="s">
        <v>56</v>
      </c>
    </row>
    <row r="45" spans="1:6" ht="51" x14ac:dyDescent="0.2">
      <c r="A45" s="2" t="s">
        <v>67</v>
      </c>
      <c r="B45" s="2">
        <v>325</v>
      </c>
      <c r="C45" s="2">
        <v>16</v>
      </c>
      <c r="D45" s="4">
        <v>13</v>
      </c>
      <c r="E45" s="2">
        <v>25</v>
      </c>
      <c r="F45" s="1" t="s">
        <v>34</v>
      </c>
    </row>
    <row r="46" spans="1:6" ht="119" x14ac:dyDescent="0.2">
      <c r="A46" s="2" t="s">
        <v>68</v>
      </c>
      <c r="B46" s="2">
        <v>6.75</v>
      </c>
      <c r="C46" s="2">
        <v>4.01</v>
      </c>
      <c r="D46" s="4">
        <v>7</v>
      </c>
      <c r="E46" s="2">
        <v>25</v>
      </c>
      <c r="F46" s="1" t="s">
        <v>20</v>
      </c>
    </row>
    <row r="47" spans="1:6" ht="51" x14ac:dyDescent="0.2">
      <c r="A47" s="2" t="s">
        <v>69</v>
      </c>
      <c r="B47" s="2">
        <v>678</v>
      </c>
      <c r="C47" s="2">
        <v>16</v>
      </c>
      <c r="D47" s="4">
        <v>11.3</v>
      </c>
      <c r="E47" s="2">
        <v>25</v>
      </c>
      <c r="F47" s="1" t="s">
        <v>56</v>
      </c>
    </row>
    <row r="48" spans="1:6" ht="51" x14ac:dyDescent="0.2">
      <c r="A48" s="2" t="s">
        <v>69</v>
      </c>
      <c r="B48" s="2">
        <v>302</v>
      </c>
      <c r="C48" s="2">
        <v>15</v>
      </c>
      <c r="D48" s="4">
        <v>13</v>
      </c>
      <c r="E48" s="2">
        <v>0.5</v>
      </c>
      <c r="F48" s="1" t="s">
        <v>34</v>
      </c>
    </row>
    <row r="49" spans="1:6" ht="68" x14ac:dyDescent="0.2">
      <c r="A49" s="2" t="s">
        <v>70</v>
      </c>
      <c r="B49" s="2">
        <v>4.2</v>
      </c>
      <c r="C49" s="2">
        <v>0.01</v>
      </c>
      <c r="D49" s="4">
        <v>5.3</v>
      </c>
      <c r="E49" s="2">
        <v>22</v>
      </c>
      <c r="F49" s="1" t="s">
        <v>41</v>
      </c>
    </row>
    <row r="50" spans="1:6" ht="17" x14ac:dyDescent="0.2">
      <c r="A50" s="2" t="s">
        <v>71</v>
      </c>
      <c r="B50" s="2">
        <v>8.6300000000000008</v>
      </c>
      <c r="C50" s="2">
        <v>0.57999999999999996</v>
      </c>
      <c r="D50" s="4">
        <v>5.3</v>
      </c>
      <c r="E50" s="2">
        <v>23</v>
      </c>
      <c r="F50" s="1" t="s">
        <v>45</v>
      </c>
    </row>
    <row r="51" spans="1:6" ht="51" x14ac:dyDescent="0.2">
      <c r="A51" s="2" t="s">
        <v>72</v>
      </c>
      <c r="B51" s="2">
        <v>0.48</v>
      </c>
      <c r="C51" s="2">
        <v>0.03</v>
      </c>
      <c r="D51" s="4">
        <v>7</v>
      </c>
      <c r="E51" s="2">
        <v>25</v>
      </c>
      <c r="F51" s="1" t="s">
        <v>28</v>
      </c>
    </row>
    <row r="52" spans="1:6" ht="51" x14ac:dyDescent="0.2">
      <c r="A52" s="2" t="s">
        <v>73</v>
      </c>
      <c r="B52" s="2">
        <v>272</v>
      </c>
      <c r="C52" s="2">
        <v>14</v>
      </c>
      <c r="D52" s="4">
        <v>6.5</v>
      </c>
      <c r="E52" s="2">
        <v>0.5</v>
      </c>
      <c r="F52" s="1" t="s">
        <v>34</v>
      </c>
    </row>
    <row r="53" spans="1:6" ht="51" x14ac:dyDescent="0.2">
      <c r="A53" s="2" t="s">
        <v>74</v>
      </c>
      <c r="B53" s="2">
        <v>699</v>
      </c>
      <c r="C53" s="2">
        <v>11</v>
      </c>
      <c r="D53" s="4">
        <v>11.3</v>
      </c>
      <c r="E53" s="2">
        <v>25</v>
      </c>
      <c r="F53" s="1" t="s">
        <v>56</v>
      </c>
    </row>
    <row r="54" spans="1:6" ht="51" x14ac:dyDescent="0.2">
      <c r="A54" s="2" t="s">
        <v>74</v>
      </c>
      <c r="B54" s="2">
        <v>260</v>
      </c>
      <c r="C54" s="2">
        <v>14</v>
      </c>
      <c r="D54" s="4">
        <v>6.5</v>
      </c>
      <c r="E54" s="2">
        <v>0.5</v>
      </c>
      <c r="F54" s="1" t="s">
        <v>34</v>
      </c>
    </row>
    <row r="55" spans="1:6" ht="51" x14ac:dyDescent="0.2">
      <c r="A55" s="2" t="s">
        <v>75</v>
      </c>
      <c r="B55" s="2">
        <v>82.5</v>
      </c>
      <c r="C55" s="2">
        <v>5.2</v>
      </c>
      <c r="D55" s="4">
        <v>7</v>
      </c>
      <c r="E55" s="2">
        <v>25</v>
      </c>
      <c r="F55" s="1" t="s">
        <v>28</v>
      </c>
    </row>
    <row r="56" spans="1:6" ht="51" x14ac:dyDescent="0.2">
      <c r="A56" s="2" t="s">
        <v>75</v>
      </c>
      <c r="B56" s="2">
        <v>237</v>
      </c>
      <c r="C56" s="2">
        <v>3</v>
      </c>
      <c r="D56" s="4">
        <v>7</v>
      </c>
      <c r="E56" s="2">
        <v>25</v>
      </c>
      <c r="F56" s="1" t="s">
        <v>25</v>
      </c>
    </row>
    <row r="57" spans="1:6" ht="119" x14ac:dyDescent="0.2">
      <c r="A57" s="2" t="s">
        <v>76</v>
      </c>
      <c r="B57" s="2">
        <v>69</v>
      </c>
      <c r="C57" s="2">
        <v>7.1</v>
      </c>
      <c r="D57" s="4">
        <v>7</v>
      </c>
      <c r="E57" s="2">
        <v>25</v>
      </c>
      <c r="F57" s="1" t="s">
        <v>77</v>
      </c>
    </row>
    <row r="58" spans="1:6" ht="51" x14ac:dyDescent="0.2">
      <c r="A58" s="2" t="s">
        <v>78</v>
      </c>
      <c r="B58" s="2">
        <v>1190</v>
      </c>
      <c r="C58" s="2">
        <v>20</v>
      </c>
      <c r="D58" s="4">
        <v>11.3</v>
      </c>
      <c r="E58" s="2">
        <v>25</v>
      </c>
      <c r="F58" s="1" t="s">
        <v>56</v>
      </c>
    </row>
    <row r="59" spans="1:6" ht="68" x14ac:dyDescent="0.2">
      <c r="A59" s="2" t="s">
        <v>79</v>
      </c>
      <c r="B59" s="2">
        <v>9.8000000000000004E-2</v>
      </c>
      <c r="C59" s="2">
        <v>0.03</v>
      </c>
      <c r="D59" s="4" t="s">
        <v>80</v>
      </c>
      <c r="E59" s="2" t="s">
        <v>81</v>
      </c>
      <c r="F59" s="1" t="s">
        <v>82</v>
      </c>
    </row>
    <row r="60" spans="1:6" ht="51" x14ac:dyDescent="0.2">
      <c r="A60" s="2" t="s">
        <v>83</v>
      </c>
      <c r="B60" s="3">
        <v>1.56E-4</v>
      </c>
      <c r="C60" s="3">
        <v>1.1E-5</v>
      </c>
      <c r="D60" s="4">
        <v>7.2</v>
      </c>
      <c r="E60" s="2" t="s">
        <v>84</v>
      </c>
      <c r="F60" s="1" t="s">
        <v>85</v>
      </c>
    </row>
    <row r="61" spans="1:6" ht="51" x14ac:dyDescent="0.2">
      <c r="A61" s="2" t="s">
        <v>86</v>
      </c>
      <c r="B61" s="2">
        <v>167</v>
      </c>
      <c r="C61" s="2">
        <v>8</v>
      </c>
      <c r="D61" s="4">
        <v>13</v>
      </c>
      <c r="E61" s="2">
        <v>25</v>
      </c>
      <c r="F61" s="1" t="s">
        <v>34</v>
      </c>
    </row>
    <row r="62" spans="1:6" ht="85" x14ac:dyDescent="0.2">
      <c r="A62" s="2" t="s">
        <v>87</v>
      </c>
      <c r="B62" s="2">
        <v>60</v>
      </c>
      <c r="C62" s="2">
        <v>3.8</v>
      </c>
      <c r="E62" s="2">
        <v>24.4</v>
      </c>
      <c r="F62" s="1" t="s">
        <v>88</v>
      </c>
    </row>
    <row r="63" spans="1:6" ht="51" x14ac:dyDescent="0.2">
      <c r="A63" s="2" t="s">
        <v>89</v>
      </c>
      <c r="B63" s="2">
        <v>330</v>
      </c>
      <c r="C63" s="2">
        <v>17</v>
      </c>
      <c r="D63" s="4">
        <v>13</v>
      </c>
      <c r="E63" s="2">
        <v>25</v>
      </c>
      <c r="F63" s="1" t="s">
        <v>34</v>
      </c>
    </row>
    <row r="64" spans="1:6" ht="51" x14ac:dyDescent="0.2">
      <c r="A64" s="2" t="s">
        <v>90</v>
      </c>
      <c r="B64" s="2">
        <v>2.4</v>
      </c>
      <c r="C64" s="2">
        <v>0.2</v>
      </c>
      <c r="D64" s="4">
        <v>7</v>
      </c>
      <c r="E64" s="2">
        <v>25</v>
      </c>
      <c r="F64" s="1" t="s">
        <v>25</v>
      </c>
    </row>
    <row r="65" spans="1:6" ht="68" x14ac:dyDescent="0.2">
      <c r="A65" s="2" t="s">
        <v>91</v>
      </c>
      <c r="B65" s="2">
        <v>21000</v>
      </c>
      <c r="C65" s="2">
        <v>3000</v>
      </c>
      <c r="D65" s="4">
        <v>7</v>
      </c>
      <c r="E65" s="2">
        <v>20</v>
      </c>
      <c r="F65" s="1" t="s">
        <v>92</v>
      </c>
    </row>
    <row r="66" spans="1:6" ht="51" x14ac:dyDescent="0.2">
      <c r="A66" s="2" t="s">
        <v>93</v>
      </c>
      <c r="B66" s="2">
        <v>1.88</v>
      </c>
      <c r="C66" s="2">
        <v>0.6</v>
      </c>
      <c r="D66" s="4">
        <v>7</v>
      </c>
      <c r="E66" s="2" t="s">
        <v>84</v>
      </c>
      <c r="F66" s="1" t="s">
        <v>94</v>
      </c>
    </row>
    <row r="67" spans="1:6" ht="51" x14ac:dyDescent="0.2">
      <c r="A67" s="2" t="s">
        <v>95</v>
      </c>
      <c r="B67" s="2">
        <v>1.1599999999999999</v>
      </c>
      <c r="C67" s="2">
        <v>0.2</v>
      </c>
      <c r="D67" s="4">
        <v>7</v>
      </c>
      <c r="E67" s="2" t="s">
        <v>84</v>
      </c>
      <c r="F67" s="1" t="s">
        <v>94</v>
      </c>
    </row>
    <row r="68" spans="1:6" ht="51" x14ac:dyDescent="0.2">
      <c r="A68" s="2" t="s">
        <v>96</v>
      </c>
      <c r="B68" s="2">
        <v>46.8</v>
      </c>
      <c r="C68" s="2">
        <v>5.8</v>
      </c>
      <c r="D68" s="4">
        <v>7</v>
      </c>
      <c r="E68" s="2" t="s">
        <v>84</v>
      </c>
      <c r="F68" s="1" t="s">
        <v>94</v>
      </c>
    </row>
    <row r="69" spans="1:6" ht="51" x14ac:dyDescent="0.2">
      <c r="A69" s="2" t="s">
        <v>97</v>
      </c>
      <c r="B69" s="3">
        <v>6.9999999999999999E-6</v>
      </c>
      <c r="C69" s="3">
        <v>4.2E-7</v>
      </c>
      <c r="D69" s="4">
        <v>45843</v>
      </c>
      <c r="E69" s="2">
        <v>70</v>
      </c>
      <c r="F69" s="1" t="s">
        <v>98</v>
      </c>
    </row>
    <row r="70" spans="1:6" ht="85" x14ac:dyDescent="0.2">
      <c r="A70" s="2" t="s">
        <v>99</v>
      </c>
      <c r="B70" s="2">
        <v>1.04</v>
      </c>
      <c r="C70" s="2">
        <v>0.02</v>
      </c>
      <c r="D70" s="4">
        <v>3</v>
      </c>
      <c r="E70" s="2">
        <v>21</v>
      </c>
      <c r="F70" s="1" t="s">
        <v>100</v>
      </c>
    </row>
    <row r="71" spans="1:6" ht="85" x14ac:dyDescent="0.2">
      <c r="A71" s="2" t="s">
        <v>101</v>
      </c>
      <c r="B71" s="2">
        <v>34.9</v>
      </c>
      <c r="C71" s="2">
        <v>1.3</v>
      </c>
      <c r="D71" s="4">
        <v>7</v>
      </c>
      <c r="E71" s="2">
        <v>25</v>
      </c>
      <c r="F71" s="1" t="s">
        <v>102</v>
      </c>
    </row>
    <row r="72" spans="1:6" ht="51" x14ac:dyDescent="0.2">
      <c r="A72" s="2" t="s">
        <v>101</v>
      </c>
      <c r="B72" s="2">
        <v>140</v>
      </c>
      <c r="C72" s="2">
        <v>20</v>
      </c>
      <c r="D72" s="4">
        <v>7.5</v>
      </c>
      <c r="E72" s="2">
        <v>25</v>
      </c>
      <c r="F72" s="1" t="s">
        <v>103</v>
      </c>
    </row>
    <row r="73" spans="1:6" ht="51" x14ac:dyDescent="0.2">
      <c r="A73" s="2" t="s">
        <v>101</v>
      </c>
      <c r="B73" s="2">
        <v>129</v>
      </c>
      <c r="C73" s="2">
        <v>1</v>
      </c>
      <c r="D73" s="4">
        <v>7</v>
      </c>
      <c r="E73" s="2" t="s">
        <v>84</v>
      </c>
      <c r="F73" s="1" t="s">
        <v>94</v>
      </c>
    </row>
    <row r="74" spans="1:6" ht="68" x14ac:dyDescent="0.2">
      <c r="A74" s="2" t="s">
        <v>104</v>
      </c>
      <c r="B74" s="2">
        <v>2.7</v>
      </c>
      <c r="C74" s="2">
        <v>0.22</v>
      </c>
      <c r="D74" s="4" t="s">
        <v>105</v>
      </c>
      <c r="E74" s="2">
        <v>25</v>
      </c>
      <c r="F74" s="1" t="s">
        <v>106</v>
      </c>
    </row>
    <row r="75" spans="1:6" ht="85" x14ac:dyDescent="0.2">
      <c r="A75" s="2" t="s">
        <v>107</v>
      </c>
      <c r="B75" s="2">
        <v>12.5</v>
      </c>
      <c r="C75" s="2">
        <v>0.8</v>
      </c>
      <c r="D75" s="4" t="s">
        <v>108</v>
      </c>
      <c r="E75" s="2">
        <v>25</v>
      </c>
      <c r="F75" s="1" t="s">
        <v>109</v>
      </c>
    </row>
    <row r="76" spans="1:6" ht="51" x14ac:dyDescent="0.2">
      <c r="A76" s="2" t="s">
        <v>110</v>
      </c>
      <c r="B76" s="3">
        <v>1.75E-3</v>
      </c>
      <c r="C76" s="3">
        <v>1.1999999999999999E-3</v>
      </c>
      <c r="D76" s="4" t="s">
        <v>111</v>
      </c>
      <c r="E76" s="2">
        <v>25</v>
      </c>
      <c r="F76" s="1" t="s">
        <v>25</v>
      </c>
    </row>
    <row r="77" spans="1:6" ht="51" x14ac:dyDescent="0.2">
      <c r="A77" s="2" t="s">
        <v>112</v>
      </c>
      <c r="B77" s="2">
        <v>0.05</v>
      </c>
      <c r="C77" s="2">
        <v>7.8E-2</v>
      </c>
      <c r="D77" s="4">
        <v>7</v>
      </c>
      <c r="E77" s="2" t="s">
        <v>84</v>
      </c>
      <c r="F77" s="1" t="s">
        <v>94</v>
      </c>
    </row>
    <row r="78" spans="1:6" ht="51" x14ac:dyDescent="0.2">
      <c r="A78" s="2" t="s">
        <v>113</v>
      </c>
      <c r="B78" s="2">
        <v>0.04</v>
      </c>
      <c r="C78" s="2">
        <v>1.9E-2</v>
      </c>
      <c r="D78" s="4">
        <v>7</v>
      </c>
      <c r="E78" s="2" t="s">
        <v>84</v>
      </c>
      <c r="F78" s="1" t="s">
        <v>94</v>
      </c>
    </row>
    <row r="79" spans="1:6" ht="136" x14ac:dyDescent="0.2">
      <c r="A79" s="2" t="s">
        <v>114</v>
      </c>
      <c r="B79" s="2">
        <v>273</v>
      </c>
      <c r="C79" s="2">
        <v>26</v>
      </c>
      <c r="D79" s="4">
        <v>45844</v>
      </c>
      <c r="E79" s="2" t="s">
        <v>39</v>
      </c>
      <c r="F79" s="1" t="s">
        <v>115</v>
      </c>
    </row>
    <row r="80" spans="1:6" ht="51" x14ac:dyDescent="0.2">
      <c r="A80" s="2" t="s">
        <v>116</v>
      </c>
      <c r="B80" s="3">
        <v>4.4000000000000003E-3</v>
      </c>
      <c r="C80" s="3">
        <v>0.08</v>
      </c>
      <c r="D80" s="4">
        <v>5.6</v>
      </c>
      <c r="E80" s="2">
        <v>21</v>
      </c>
      <c r="F80" s="1" t="s">
        <v>7</v>
      </c>
    </row>
    <row r="81" spans="1:6" ht="51" x14ac:dyDescent="0.2">
      <c r="A81" s="2" t="s">
        <v>117</v>
      </c>
      <c r="B81" s="2">
        <v>732</v>
      </c>
      <c r="C81" s="2">
        <v>62</v>
      </c>
      <c r="D81" s="4">
        <v>7</v>
      </c>
      <c r="E81" s="2" t="s">
        <v>84</v>
      </c>
      <c r="F81" s="1" t="s">
        <v>94</v>
      </c>
    </row>
    <row r="82" spans="1:6" ht="51" x14ac:dyDescent="0.2">
      <c r="A82" s="2" t="s">
        <v>118</v>
      </c>
      <c r="B82" s="2">
        <v>12.7</v>
      </c>
      <c r="C82" s="2">
        <v>1.6</v>
      </c>
      <c r="D82" s="4">
        <v>7</v>
      </c>
      <c r="E82" s="2" t="s">
        <v>84</v>
      </c>
      <c r="F82" s="1" t="s">
        <v>119</v>
      </c>
    </row>
    <row r="83" spans="1:6" ht="51" x14ac:dyDescent="0.2">
      <c r="A83" s="2" t="s">
        <v>118</v>
      </c>
      <c r="B83" s="2">
        <v>30.9</v>
      </c>
      <c r="C83" s="2">
        <v>0.5</v>
      </c>
      <c r="D83" s="4">
        <v>7</v>
      </c>
      <c r="E83" s="2" t="s">
        <v>84</v>
      </c>
      <c r="F83" s="1" t="s">
        <v>94</v>
      </c>
    </row>
    <row r="84" spans="1:6" ht="68" x14ac:dyDescent="0.2">
      <c r="A84" s="2" t="s">
        <v>120</v>
      </c>
      <c r="B84" s="2">
        <v>4</v>
      </c>
      <c r="C84" s="2">
        <v>0.32</v>
      </c>
      <c r="D84" s="4" t="s">
        <v>121</v>
      </c>
      <c r="E84" s="2">
        <v>25</v>
      </c>
      <c r="F84" s="1" t="s">
        <v>106</v>
      </c>
    </row>
    <row r="85" spans="1:6" ht="51" x14ac:dyDescent="0.2">
      <c r="A85" s="2" t="s">
        <v>122</v>
      </c>
      <c r="B85" s="2">
        <v>20.6</v>
      </c>
      <c r="C85" s="2">
        <v>0.5</v>
      </c>
      <c r="D85" s="4">
        <v>7</v>
      </c>
      <c r="E85" s="2">
        <v>25</v>
      </c>
      <c r="F85" s="1" t="s">
        <v>123</v>
      </c>
    </row>
    <row r="86" spans="1:6" ht="51" x14ac:dyDescent="0.2">
      <c r="A86" s="2" t="s">
        <v>124</v>
      </c>
      <c r="B86" s="2">
        <v>44.4</v>
      </c>
      <c r="C86" s="2">
        <v>18.5</v>
      </c>
      <c r="D86" s="4">
        <v>7</v>
      </c>
      <c r="E86" s="2" t="s">
        <v>84</v>
      </c>
      <c r="F86" s="1" t="s">
        <v>94</v>
      </c>
    </row>
    <row r="87" spans="1:6" ht="51" x14ac:dyDescent="0.2">
      <c r="A87" s="2" t="s">
        <v>125</v>
      </c>
      <c r="B87" s="2">
        <v>1.2E-2</v>
      </c>
      <c r="C87" s="2">
        <v>0.01</v>
      </c>
      <c r="D87" s="4">
        <v>5.6</v>
      </c>
      <c r="E87" s="2">
        <v>21</v>
      </c>
      <c r="F87" s="1" t="s">
        <v>7</v>
      </c>
    </row>
    <row r="88" spans="1:6" ht="51" x14ac:dyDescent="0.2">
      <c r="A88" s="2" t="s">
        <v>126</v>
      </c>
      <c r="B88" s="2">
        <v>490</v>
      </c>
      <c r="C88" s="2">
        <v>25</v>
      </c>
      <c r="D88" s="4">
        <v>6.5</v>
      </c>
      <c r="E88" s="2">
        <v>25</v>
      </c>
      <c r="F88" s="1" t="s">
        <v>34</v>
      </c>
    </row>
    <row r="89" spans="1:6" ht="51" x14ac:dyDescent="0.2">
      <c r="A89" s="2" t="s">
        <v>126</v>
      </c>
      <c r="B89" s="2">
        <v>736</v>
      </c>
      <c r="C89" s="2">
        <v>18</v>
      </c>
      <c r="D89" s="4">
        <v>11.3</v>
      </c>
      <c r="E89" s="2">
        <v>25</v>
      </c>
      <c r="F89" s="1" t="s">
        <v>56</v>
      </c>
    </row>
    <row r="90" spans="1:6" ht="153" x14ac:dyDescent="0.2">
      <c r="A90" s="2" t="s">
        <v>127</v>
      </c>
      <c r="B90" s="2">
        <v>0.98</v>
      </c>
      <c r="C90" s="2">
        <v>0.38</v>
      </c>
      <c r="D90" s="4">
        <v>45935</v>
      </c>
      <c r="E90" s="2">
        <v>25</v>
      </c>
      <c r="F90" s="1" t="s">
        <v>128</v>
      </c>
    </row>
    <row r="91" spans="1:6" ht="204" x14ac:dyDescent="0.2">
      <c r="A91" s="2" t="s">
        <v>129</v>
      </c>
      <c r="B91" s="2">
        <v>1.07</v>
      </c>
      <c r="C91" s="2">
        <v>0.35</v>
      </c>
      <c r="D91" s="4" t="s">
        <v>130</v>
      </c>
      <c r="E91" s="2" t="s">
        <v>131</v>
      </c>
      <c r="F91" s="1" t="s">
        <v>132</v>
      </c>
    </row>
    <row r="92" spans="1:6" ht="51" x14ac:dyDescent="0.2">
      <c r="A92" s="2" t="s">
        <v>133</v>
      </c>
      <c r="B92" s="2">
        <v>2.4</v>
      </c>
      <c r="C92" s="2">
        <v>0.16</v>
      </c>
      <c r="D92" s="4">
        <v>7</v>
      </c>
      <c r="E92" s="2" t="s">
        <v>84</v>
      </c>
      <c r="F92" s="1" t="s">
        <v>94</v>
      </c>
    </row>
    <row r="93" spans="1:6" ht="51" x14ac:dyDescent="0.2">
      <c r="A93" s="2" t="s">
        <v>134</v>
      </c>
      <c r="B93" s="2">
        <v>0.8</v>
      </c>
      <c r="C93" s="2">
        <v>0.6</v>
      </c>
      <c r="D93" s="4">
        <v>7</v>
      </c>
      <c r="E93" s="2" t="s">
        <v>84</v>
      </c>
      <c r="F93" s="1" t="s">
        <v>94</v>
      </c>
    </row>
    <row r="94" spans="1:6" ht="51" x14ac:dyDescent="0.2">
      <c r="A94" s="2" t="s">
        <v>135</v>
      </c>
      <c r="B94" s="2">
        <v>232</v>
      </c>
      <c r="C94" s="2">
        <v>11</v>
      </c>
      <c r="D94" s="4">
        <v>6.5</v>
      </c>
      <c r="E94" s="2">
        <v>25</v>
      </c>
      <c r="F94" s="1" t="s">
        <v>34</v>
      </c>
    </row>
    <row r="95" spans="1:6" ht="119" x14ac:dyDescent="0.2">
      <c r="A95" s="2" t="s">
        <v>136</v>
      </c>
      <c r="B95" s="2">
        <v>0.28000000000000003</v>
      </c>
      <c r="C95" s="2">
        <v>0.03</v>
      </c>
      <c r="D95" s="4" t="s">
        <v>137</v>
      </c>
      <c r="E95" s="2" t="s">
        <v>138</v>
      </c>
      <c r="F95" s="1" t="s">
        <v>139</v>
      </c>
    </row>
    <row r="96" spans="1:6" ht="51" x14ac:dyDescent="0.2">
      <c r="A96" s="2" t="s">
        <v>140</v>
      </c>
      <c r="B96" s="2">
        <v>105</v>
      </c>
      <c r="C96" s="2">
        <v>7</v>
      </c>
      <c r="D96" s="4">
        <v>7</v>
      </c>
      <c r="E96" s="2" t="s">
        <v>84</v>
      </c>
      <c r="F96" s="1" t="s">
        <v>94</v>
      </c>
    </row>
    <row r="97" spans="1:6" ht="68" x14ac:dyDescent="0.2">
      <c r="A97" s="2" t="s">
        <v>141</v>
      </c>
      <c r="B97" s="2">
        <v>3.6999999999999998E-2</v>
      </c>
      <c r="C97" s="2">
        <v>3.0000000000000001E-3</v>
      </c>
      <c r="D97" s="4" t="s">
        <v>142</v>
      </c>
      <c r="E97" s="2">
        <v>25</v>
      </c>
      <c r="F97" s="1" t="s">
        <v>106</v>
      </c>
    </row>
    <row r="98" spans="1:6" ht="68" x14ac:dyDescent="0.2">
      <c r="A98" s="2" t="s">
        <v>143</v>
      </c>
      <c r="B98" s="2">
        <v>3.7</v>
      </c>
      <c r="C98" s="2">
        <v>0.3</v>
      </c>
      <c r="D98" s="4" t="s">
        <v>144</v>
      </c>
      <c r="E98" s="2">
        <v>25</v>
      </c>
      <c r="F98" s="1" t="s">
        <v>106</v>
      </c>
    </row>
    <row r="99" spans="1:6" ht="102" x14ac:dyDescent="0.2">
      <c r="A99" s="2" t="s">
        <v>145</v>
      </c>
      <c r="B99" s="2">
        <v>20.5</v>
      </c>
      <c r="C99" s="2">
        <v>6.7</v>
      </c>
      <c r="D99" s="4">
        <v>7</v>
      </c>
      <c r="E99" s="2">
        <v>25</v>
      </c>
      <c r="F99" s="1" t="s">
        <v>146</v>
      </c>
    </row>
    <row r="100" spans="1:6" ht="136" x14ac:dyDescent="0.2">
      <c r="A100" s="2" t="s">
        <v>147</v>
      </c>
      <c r="B100" s="2">
        <v>2.15</v>
      </c>
      <c r="C100" s="2">
        <v>0.53</v>
      </c>
      <c r="D100" s="4">
        <v>7</v>
      </c>
      <c r="E100" s="2">
        <v>20</v>
      </c>
      <c r="F100" s="1" t="s">
        <v>148</v>
      </c>
    </row>
    <row r="101" spans="1:6" ht="51" x14ac:dyDescent="0.2">
      <c r="A101" s="2" t="s">
        <v>149</v>
      </c>
      <c r="B101" s="2">
        <v>0.6</v>
      </c>
      <c r="C101" s="2">
        <v>0.08</v>
      </c>
      <c r="D101" s="4">
        <v>7</v>
      </c>
      <c r="E101" s="2" t="s">
        <v>84</v>
      </c>
      <c r="F101" s="1" t="s">
        <v>94</v>
      </c>
    </row>
    <row r="102" spans="1:6" ht="85" x14ac:dyDescent="0.2">
      <c r="A102" s="2" t="s">
        <v>150</v>
      </c>
      <c r="B102" s="2">
        <v>54</v>
      </c>
      <c r="C102" s="2">
        <v>4.3</v>
      </c>
      <c r="D102" s="4" t="s">
        <v>151</v>
      </c>
      <c r="E102" s="2">
        <v>25</v>
      </c>
      <c r="F102" s="1" t="s">
        <v>152</v>
      </c>
    </row>
    <row r="103" spans="1:6" ht="102" x14ac:dyDescent="0.2">
      <c r="A103" s="2" t="s">
        <v>153</v>
      </c>
      <c r="B103" s="2">
        <v>0.89</v>
      </c>
      <c r="C103" s="2">
        <v>0.36</v>
      </c>
      <c r="D103" s="4">
        <v>45935</v>
      </c>
      <c r="E103" s="2" t="s">
        <v>154</v>
      </c>
      <c r="F103" s="1" t="s">
        <v>155</v>
      </c>
    </row>
    <row r="104" spans="1:6" ht="51" x14ac:dyDescent="0.2">
      <c r="A104" s="2" t="s">
        <v>153</v>
      </c>
      <c r="B104" s="2">
        <v>2.04</v>
      </c>
      <c r="C104" s="2">
        <v>0.12</v>
      </c>
      <c r="D104" s="4">
        <v>7</v>
      </c>
      <c r="E104" s="2" t="s">
        <v>84</v>
      </c>
      <c r="F104" s="1" t="s">
        <v>94</v>
      </c>
    </row>
    <row r="105" spans="1:6" ht="51" x14ac:dyDescent="0.2">
      <c r="A105" s="2" t="s">
        <v>156</v>
      </c>
      <c r="B105" s="2">
        <v>1.48</v>
      </c>
      <c r="C105" s="2">
        <v>0.04</v>
      </c>
      <c r="D105" s="4">
        <v>7</v>
      </c>
      <c r="E105" s="2" t="s">
        <v>84</v>
      </c>
      <c r="F105" s="1" t="s">
        <v>94</v>
      </c>
    </row>
    <row r="106" spans="1:6" ht="68" x14ac:dyDescent="0.2">
      <c r="A106" s="2" t="s">
        <v>157</v>
      </c>
      <c r="B106" s="3">
        <v>1.16E-3</v>
      </c>
      <c r="C106" s="3">
        <v>7.2000000000000005E-4</v>
      </c>
      <c r="D106" s="4" t="s">
        <v>158</v>
      </c>
      <c r="E106" s="2">
        <v>21</v>
      </c>
      <c r="F106" s="1" t="s">
        <v>159</v>
      </c>
    </row>
    <row r="107" spans="1:6" ht="85" x14ac:dyDescent="0.2">
      <c r="A107" s="2" t="s">
        <v>160</v>
      </c>
      <c r="B107" s="2">
        <v>5.0000000000000001E-3</v>
      </c>
      <c r="C107" s="2">
        <v>1E-3</v>
      </c>
      <c r="D107" s="4" t="s">
        <v>137</v>
      </c>
      <c r="E107" s="2" t="s">
        <v>154</v>
      </c>
      <c r="F107" s="1" t="s">
        <v>161</v>
      </c>
    </row>
    <row r="108" spans="1:6" ht="85" x14ac:dyDescent="0.2">
      <c r="A108" s="2" t="s">
        <v>160</v>
      </c>
      <c r="B108" s="2">
        <v>1.0999999999999999E-2</v>
      </c>
      <c r="C108" s="2">
        <v>1E-3</v>
      </c>
      <c r="D108" s="4">
        <v>45843</v>
      </c>
      <c r="E108" s="2">
        <v>30</v>
      </c>
      <c r="F108" s="1" t="s">
        <v>12</v>
      </c>
    </row>
    <row r="109" spans="1:6" ht="51" x14ac:dyDescent="0.2">
      <c r="A109" s="2" t="s">
        <v>162</v>
      </c>
      <c r="B109" s="2">
        <v>0.9</v>
      </c>
      <c r="C109" s="2">
        <v>0.3</v>
      </c>
      <c r="D109" s="4">
        <v>5.6</v>
      </c>
      <c r="E109" s="2">
        <v>21</v>
      </c>
      <c r="F109" s="1" t="s">
        <v>7</v>
      </c>
    </row>
    <row r="110" spans="1:6" ht="51" x14ac:dyDescent="0.2">
      <c r="A110" s="2" t="s">
        <v>163</v>
      </c>
      <c r="B110" s="3">
        <v>4.3E-3</v>
      </c>
      <c r="C110" s="3">
        <v>0.03</v>
      </c>
      <c r="D110" s="4">
        <v>5.6</v>
      </c>
      <c r="E110" s="2">
        <v>21</v>
      </c>
      <c r="F110" s="1" t="s">
        <v>7</v>
      </c>
    </row>
    <row r="111" spans="1:6" ht="85" x14ac:dyDescent="0.2">
      <c r="A111" s="2" t="s">
        <v>164</v>
      </c>
      <c r="B111" s="2">
        <v>1180</v>
      </c>
      <c r="C111" s="2">
        <v>71</v>
      </c>
      <c r="D111" s="4" t="s">
        <v>165</v>
      </c>
      <c r="E111" s="2">
        <v>25</v>
      </c>
      <c r="F111" s="1" t="s">
        <v>166</v>
      </c>
    </row>
    <row r="112" spans="1:6" ht="51" x14ac:dyDescent="0.2">
      <c r="A112" s="2" t="s">
        <v>167</v>
      </c>
      <c r="B112" s="2">
        <v>0.8</v>
      </c>
      <c r="C112" s="2">
        <v>0.08</v>
      </c>
      <c r="D112" s="4">
        <v>7</v>
      </c>
      <c r="E112" s="2" t="s">
        <v>84</v>
      </c>
      <c r="F112" s="1" t="s">
        <v>94</v>
      </c>
    </row>
    <row r="113" spans="1:6" ht="51" x14ac:dyDescent="0.2">
      <c r="A113" s="2" t="s">
        <v>168</v>
      </c>
      <c r="B113" s="2">
        <v>2.7</v>
      </c>
      <c r="C113" s="2">
        <v>0.2</v>
      </c>
      <c r="D113" s="4">
        <v>5.6</v>
      </c>
      <c r="E113" s="2">
        <v>23</v>
      </c>
      <c r="F113" s="1" t="s">
        <v>18</v>
      </c>
    </row>
    <row r="114" spans="1:6" ht="119" x14ac:dyDescent="0.2">
      <c r="A114" s="2" t="s">
        <v>169</v>
      </c>
      <c r="B114" s="3">
        <v>4.0800000000000002E-5</v>
      </c>
      <c r="C114" s="3">
        <v>1.7E-6</v>
      </c>
      <c r="D114" s="4" t="s">
        <v>22</v>
      </c>
      <c r="E114" s="2">
        <v>25</v>
      </c>
      <c r="F114" s="1" t="s">
        <v>170</v>
      </c>
    </row>
    <row r="115" spans="1:6" ht="51" x14ac:dyDescent="0.2">
      <c r="A115" s="2" t="s">
        <v>171</v>
      </c>
      <c r="B115" s="2">
        <v>0.8</v>
      </c>
      <c r="C115" s="2">
        <v>0.12</v>
      </c>
      <c r="D115" s="4">
        <v>7</v>
      </c>
      <c r="E115" s="2" t="s">
        <v>84</v>
      </c>
      <c r="F115" s="1" t="s">
        <v>94</v>
      </c>
    </row>
    <row r="116" spans="1:6" ht="51" x14ac:dyDescent="0.2">
      <c r="A116" s="2" t="s">
        <v>172</v>
      </c>
      <c r="B116" s="2">
        <v>8.51</v>
      </c>
      <c r="C116" s="2">
        <v>0.42</v>
      </c>
      <c r="D116" s="4">
        <v>7</v>
      </c>
      <c r="E116" s="2">
        <v>20</v>
      </c>
      <c r="F116" s="1" t="s">
        <v>173</v>
      </c>
    </row>
    <row r="117" spans="1:6" ht="85" x14ac:dyDescent="0.2">
      <c r="A117" s="2" t="s">
        <v>174</v>
      </c>
      <c r="B117" s="3">
        <v>6.9499999999999996E-3</v>
      </c>
      <c r="C117" s="3">
        <v>1.06E-3</v>
      </c>
      <c r="D117" s="4" t="s">
        <v>137</v>
      </c>
      <c r="E117" s="2" t="s">
        <v>154</v>
      </c>
      <c r="F117" s="1" t="s">
        <v>161</v>
      </c>
    </row>
    <row r="118" spans="1:6" ht="85" x14ac:dyDescent="0.2">
      <c r="A118" s="2" t="s">
        <v>174</v>
      </c>
      <c r="B118" s="2">
        <v>1.23E-2</v>
      </c>
      <c r="C118" s="2">
        <v>5.0000000000000001E-4</v>
      </c>
      <c r="D118" s="4">
        <v>45843</v>
      </c>
      <c r="E118" s="2">
        <v>30</v>
      </c>
      <c r="F118" s="1" t="s">
        <v>12</v>
      </c>
    </row>
    <row r="119" spans="1:6" ht="51" x14ac:dyDescent="0.2">
      <c r="A119" s="2" t="s">
        <v>175</v>
      </c>
      <c r="B119" s="2">
        <v>69.7</v>
      </c>
      <c r="C119" s="2">
        <v>17.2</v>
      </c>
      <c r="D119" s="4">
        <v>7</v>
      </c>
      <c r="E119" s="2" t="s">
        <v>84</v>
      </c>
      <c r="F119" s="1" t="s">
        <v>94</v>
      </c>
    </row>
    <row r="120" spans="1:6" ht="51" x14ac:dyDescent="0.2">
      <c r="A120" s="2" t="s">
        <v>176</v>
      </c>
      <c r="B120" s="2">
        <v>179</v>
      </c>
      <c r="C120" s="2">
        <v>10</v>
      </c>
      <c r="D120" s="4">
        <v>6</v>
      </c>
      <c r="E120" s="2">
        <v>22</v>
      </c>
      <c r="F120" s="1" t="s">
        <v>177</v>
      </c>
    </row>
    <row r="121" spans="1:6" ht="68" x14ac:dyDescent="0.2">
      <c r="A121" s="2" t="s">
        <v>178</v>
      </c>
      <c r="B121" s="2">
        <v>3.6</v>
      </c>
      <c r="C121" s="2">
        <v>0.1</v>
      </c>
      <c r="D121" s="4">
        <v>7</v>
      </c>
      <c r="E121" s="2">
        <v>25</v>
      </c>
      <c r="F121" s="1" t="s">
        <v>179</v>
      </c>
    </row>
    <row r="122" spans="1:6" ht="51" x14ac:dyDescent="0.2">
      <c r="A122" s="2" t="s">
        <v>180</v>
      </c>
      <c r="B122" s="2">
        <v>0.88</v>
      </c>
      <c r="C122" s="2">
        <v>0.08</v>
      </c>
      <c r="D122" s="4">
        <v>7</v>
      </c>
      <c r="E122" s="2" t="s">
        <v>84</v>
      </c>
      <c r="F122" s="1" t="s">
        <v>94</v>
      </c>
    </row>
    <row r="123" spans="1:6" ht="85" x14ac:dyDescent="0.2">
      <c r="A123" s="2" t="s">
        <v>181</v>
      </c>
      <c r="B123" s="2">
        <v>1000</v>
      </c>
      <c r="C123" s="2">
        <v>60</v>
      </c>
      <c r="D123" s="4" t="s">
        <v>182</v>
      </c>
      <c r="E123" s="2">
        <v>25</v>
      </c>
      <c r="F123" s="1" t="s">
        <v>166</v>
      </c>
    </row>
    <row r="124" spans="1:6" ht="51" x14ac:dyDescent="0.2">
      <c r="A124" s="2" t="s">
        <v>183</v>
      </c>
      <c r="B124" s="2">
        <v>73</v>
      </c>
      <c r="C124" s="2">
        <v>2</v>
      </c>
      <c r="D124" s="4">
        <v>6</v>
      </c>
      <c r="E124" s="2">
        <v>22</v>
      </c>
      <c r="F124" s="1" t="s">
        <v>177</v>
      </c>
    </row>
    <row r="125" spans="1:6" ht="85" x14ac:dyDescent="0.2">
      <c r="A125" s="2" t="s">
        <v>184</v>
      </c>
      <c r="B125" s="3">
        <v>6.8100000000000002E-5</v>
      </c>
      <c r="C125" s="3">
        <v>4.6900000000000002E-5</v>
      </c>
      <c r="D125" s="4" t="s">
        <v>185</v>
      </c>
      <c r="E125" s="2" t="s">
        <v>186</v>
      </c>
      <c r="F125" s="1" t="s">
        <v>187</v>
      </c>
    </row>
    <row r="126" spans="1:6" ht="85" x14ac:dyDescent="0.2">
      <c r="A126" s="2" t="s">
        <v>188</v>
      </c>
      <c r="B126" s="2">
        <v>98</v>
      </c>
      <c r="C126" s="2">
        <v>7.8</v>
      </c>
      <c r="D126" s="4" t="s">
        <v>189</v>
      </c>
      <c r="E126" s="2">
        <v>25</v>
      </c>
      <c r="F126" s="1" t="s">
        <v>152</v>
      </c>
    </row>
    <row r="127" spans="1:6" ht="85" x14ac:dyDescent="0.2">
      <c r="A127" s="2" t="s">
        <v>190</v>
      </c>
      <c r="B127" s="2">
        <v>310</v>
      </c>
      <c r="C127" s="2">
        <v>25</v>
      </c>
      <c r="D127" s="4" t="s">
        <v>121</v>
      </c>
      <c r="E127" s="2">
        <v>25</v>
      </c>
      <c r="F127" s="1" t="s">
        <v>152</v>
      </c>
    </row>
    <row r="128" spans="1:6" ht="51" x14ac:dyDescent="0.2">
      <c r="A128" s="2" t="s">
        <v>191</v>
      </c>
      <c r="B128" s="2">
        <v>0.35</v>
      </c>
      <c r="C128" s="2">
        <v>0.05</v>
      </c>
      <c r="D128" s="4">
        <v>7</v>
      </c>
      <c r="E128" s="2">
        <v>25</v>
      </c>
      <c r="F128" s="1" t="s">
        <v>28</v>
      </c>
    </row>
    <row r="129" spans="1:6" ht="187" x14ac:dyDescent="0.2">
      <c r="A129" s="2" t="s">
        <v>192</v>
      </c>
      <c r="B129" s="2">
        <v>149</v>
      </c>
      <c r="C129" s="2">
        <v>28</v>
      </c>
      <c r="D129" s="4" t="s">
        <v>193</v>
      </c>
      <c r="E129" s="2" t="s">
        <v>194</v>
      </c>
      <c r="F129" s="1" t="s">
        <v>195</v>
      </c>
    </row>
    <row r="130" spans="1:6" ht="136" x14ac:dyDescent="0.2">
      <c r="A130" s="2" t="s">
        <v>196</v>
      </c>
      <c r="B130" s="2">
        <v>230</v>
      </c>
      <c r="C130" s="2">
        <v>23</v>
      </c>
      <c r="D130" s="4" t="s">
        <v>197</v>
      </c>
      <c r="E130" s="2">
        <v>22</v>
      </c>
      <c r="F130" s="1" t="s">
        <v>198</v>
      </c>
    </row>
    <row r="131" spans="1:6" ht="289" x14ac:dyDescent="0.2">
      <c r="A131" s="2" t="s">
        <v>199</v>
      </c>
      <c r="B131" s="2">
        <v>339</v>
      </c>
      <c r="C131" s="2">
        <v>54</v>
      </c>
      <c r="D131" s="4" t="s">
        <v>200</v>
      </c>
      <c r="E131" s="2" t="s">
        <v>201</v>
      </c>
      <c r="F131" s="1" t="s">
        <v>202</v>
      </c>
    </row>
    <row r="132" spans="1:6" ht="136" x14ac:dyDescent="0.2">
      <c r="A132" s="2" t="s">
        <v>203</v>
      </c>
      <c r="B132" s="2">
        <v>237</v>
      </c>
      <c r="C132" s="2">
        <v>50</v>
      </c>
      <c r="D132" s="4" t="s">
        <v>197</v>
      </c>
      <c r="E132" s="2">
        <v>22</v>
      </c>
      <c r="F132" s="1" t="s">
        <v>198</v>
      </c>
    </row>
    <row r="133" spans="1:6" ht="170" x14ac:dyDescent="0.2">
      <c r="A133" s="2" t="s">
        <v>204</v>
      </c>
      <c r="B133" s="2">
        <v>484</v>
      </c>
      <c r="C133" s="2">
        <v>50</v>
      </c>
      <c r="D133" s="4" t="s">
        <v>205</v>
      </c>
      <c r="E133" s="2" t="s">
        <v>206</v>
      </c>
      <c r="F133" s="1" t="s">
        <v>207</v>
      </c>
    </row>
    <row r="134" spans="1:6" ht="136" x14ac:dyDescent="0.2">
      <c r="A134" s="2" t="s">
        <v>208</v>
      </c>
      <c r="B134" s="2">
        <v>395</v>
      </c>
      <c r="C134" s="2">
        <v>12</v>
      </c>
      <c r="D134" s="4" t="s">
        <v>197</v>
      </c>
      <c r="E134" s="2">
        <v>21</v>
      </c>
      <c r="F134" s="1" t="s">
        <v>209</v>
      </c>
    </row>
    <row r="135" spans="1:6" ht="51" x14ac:dyDescent="0.2">
      <c r="A135" s="2" t="s">
        <v>210</v>
      </c>
      <c r="B135" s="2">
        <v>0.04</v>
      </c>
      <c r="C135" s="2">
        <v>5.0000000000000001E-3</v>
      </c>
      <c r="D135" s="4">
        <v>7</v>
      </c>
      <c r="E135" s="2" t="s">
        <v>84</v>
      </c>
      <c r="F135" s="1" t="s">
        <v>94</v>
      </c>
    </row>
    <row r="136" spans="1:6" ht="51" x14ac:dyDescent="0.2">
      <c r="A136" s="2" t="s">
        <v>211</v>
      </c>
      <c r="B136" s="2">
        <v>0.84</v>
      </c>
      <c r="C136" s="2">
        <v>0.04</v>
      </c>
      <c r="D136" s="4">
        <v>7</v>
      </c>
      <c r="E136" s="2" t="s">
        <v>84</v>
      </c>
      <c r="F136" s="1" t="s">
        <v>94</v>
      </c>
    </row>
    <row r="137" spans="1:6" ht="51" x14ac:dyDescent="0.2">
      <c r="A137" s="2" t="s">
        <v>212</v>
      </c>
      <c r="B137" s="2">
        <v>1.0999999999999999E-2</v>
      </c>
      <c r="C137" s="2">
        <v>2E-3</v>
      </c>
      <c r="D137" s="4">
        <v>5.6</v>
      </c>
      <c r="E137" s="2">
        <v>21</v>
      </c>
      <c r="F137" s="1" t="s">
        <v>7</v>
      </c>
    </row>
    <row r="138" spans="1:6" ht="51" x14ac:dyDescent="0.2">
      <c r="A138" s="2" t="s">
        <v>213</v>
      </c>
      <c r="B138" s="2">
        <v>219</v>
      </c>
      <c r="C138" s="2">
        <v>13</v>
      </c>
      <c r="D138" s="4">
        <v>6</v>
      </c>
      <c r="E138" s="2">
        <v>22</v>
      </c>
      <c r="F138" s="1" t="s">
        <v>177</v>
      </c>
    </row>
    <row r="139" spans="1:6" ht="51" x14ac:dyDescent="0.2">
      <c r="A139" s="2" t="s">
        <v>214</v>
      </c>
      <c r="B139" s="2">
        <v>0.84</v>
      </c>
      <c r="C139" s="2">
        <v>0.08</v>
      </c>
      <c r="D139" s="4">
        <v>7</v>
      </c>
      <c r="E139" s="2" t="s">
        <v>84</v>
      </c>
      <c r="F139" s="1" t="s">
        <v>94</v>
      </c>
    </row>
    <row r="140" spans="1:6" ht="51" x14ac:dyDescent="0.2">
      <c r="A140" s="2" t="s">
        <v>215</v>
      </c>
      <c r="B140" s="2">
        <v>3.26</v>
      </c>
      <c r="C140" s="2">
        <v>1.61</v>
      </c>
      <c r="D140" s="4">
        <v>7</v>
      </c>
      <c r="E140" s="2" t="s">
        <v>84</v>
      </c>
      <c r="F140" s="1" t="s">
        <v>94</v>
      </c>
    </row>
    <row r="141" spans="1:6" ht="51" x14ac:dyDescent="0.2">
      <c r="A141" s="2" t="s">
        <v>216</v>
      </c>
      <c r="B141" s="2">
        <v>53.6</v>
      </c>
      <c r="C141" s="2">
        <v>17.899999999999999</v>
      </c>
      <c r="D141" s="4">
        <v>7</v>
      </c>
      <c r="E141" s="2" t="s">
        <v>84</v>
      </c>
      <c r="F141" s="1" t="s">
        <v>94</v>
      </c>
    </row>
    <row r="142" spans="1:6" ht="51" x14ac:dyDescent="0.2">
      <c r="A142" s="2" t="s">
        <v>217</v>
      </c>
      <c r="B142" s="3">
        <v>4.1999999999999997E-3</v>
      </c>
      <c r="C142" s="3">
        <v>0.03</v>
      </c>
      <c r="D142" s="4">
        <v>5.6</v>
      </c>
      <c r="E142" s="2">
        <v>21</v>
      </c>
      <c r="F142" s="1" t="s">
        <v>7</v>
      </c>
    </row>
    <row r="143" spans="1:6" ht="255" x14ac:dyDescent="0.2">
      <c r="A143" s="2" t="s">
        <v>218</v>
      </c>
      <c r="B143" s="2">
        <v>5.46</v>
      </c>
      <c r="C143" s="2">
        <v>0.97</v>
      </c>
      <c r="D143" s="4">
        <v>7</v>
      </c>
      <c r="E143" s="2" t="s">
        <v>219</v>
      </c>
      <c r="F143" s="1" t="s">
        <v>220</v>
      </c>
    </row>
    <row r="144" spans="1:6" ht="68" x14ac:dyDescent="0.2">
      <c r="A144" s="2" t="s">
        <v>218</v>
      </c>
      <c r="B144" s="2">
        <v>1.6</v>
      </c>
      <c r="C144" s="2">
        <v>0.5</v>
      </c>
      <c r="D144" s="4">
        <v>5.6</v>
      </c>
      <c r="E144" s="2">
        <v>23</v>
      </c>
      <c r="F144" s="1" t="s">
        <v>221</v>
      </c>
    </row>
    <row r="145" spans="1:7" ht="68" x14ac:dyDescent="0.2">
      <c r="A145" s="2" t="s">
        <v>222</v>
      </c>
      <c r="B145" s="2">
        <v>11.6</v>
      </c>
      <c r="C145" s="2">
        <v>0.6</v>
      </c>
      <c r="D145" s="4">
        <v>3.77</v>
      </c>
      <c r="E145" s="2">
        <v>25</v>
      </c>
      <c r="F145" s="1" t="s">
        <v>223</v>
      </c>
    </row>
    <row r="146" spans="1:7" ht="51" x14ac:dyDescent="0.2">
      <c r="A146" s="2" t="s">
        <v>224</v>
      </c>
      <c r="B146" s="2">
        <v>0.4</v>
      </c>
      <c r="C146" s="2">
        <v>0.08</v>
      </c>
      <c r="D146" s="4">
        <v>7</v>
      </c>
      <c r="E146" s="2" t="s">
        <v>84</v>
      </c>
      <c r="F146" s="1" t="s">
        <v>94</v>
      </c>
    </row>
    <row r="147" spans="1:7" ht="51" x14ac:dyDescent="0.2">
      <c r="A147" s="2" t="s">
        <v>225</v>
      </c>
      <c r="B147" s="2">
        <v>28</v>
      </c>
      <c r="C147" s="2">
        <v>2</v>
      </c>
      <c r="D147" s="4">
        <v>6</v>
      </c>
      <c r="E147" s="2">
        <v>22</v>
      </c>
      <c r="F147" s="1" t="s">
        <v>177</v>
      </c>
    </row>
    <row r="148" spans="1:7" ht="85" x14ac:dyDescent="0.2">
      <c r="A148" s="2" t="s">
        <v>226</v>
      </c>
      <c r="B148" s="2">
        <v>10</v>
      </c>
      <c r="C148" s="2">
        <v>0.2</v>
      </c>
      <c r="D148" s="4" t="s">
        <v>108</v>
      </c>
      <c r="E148" s="2">
        <v>25</v>
      </c>
      <c r="F148" s="1" t="s">
        <v>109</v>
      </c>
    </row>
    <row r="149" spans="1:7" ht="68" x14ac:dyDescent="0.2">
      <c r="A149" s="2" t="s">
        <v>227</v>
      </c>
      <c r="B149" s="2">
        <v>43.2</v>
      </c>
      <c r="C149" s="2">
        <v>2.2000000000000002</v>
      </c>
      <c r="D149" s="4">
        <v>3.77</v>
      </c>
      <c r="E149" s="2">
        <v>25</v>
      </c>
      <c r="F149" s="1" t="s">
        <v>223</v>
      </c>
    </row>
    <row r="150" spans="1:7" ht="51" x14ac:dyDescent="0.2">
      <c r="A150" s="2" t="s">
        <v>228</v>
      </c>
      <c r="B150" s="2">
        <v>1.7</v>
      </c>
      <c r="C150" s="2">
        <v>0.6</v>
      </c>
      <c r="D150" s="4">
        <v>5.6</v>
      </c>
      <c r="E150" s="2">
        <v>21</v>
      </c>
      <c r="F150" s="1" t="s">
        <v>7</v>
      </c>
    </row>
    <row r="151" spans="1:7" ht="187" x14ac:dyDescent="0.2">
      <c r="A151" s="2" t="s">
        <v>229</v>
      </c>
      <c r="B151" s="2">
        <v>283</v>
      </c>
      <c r="E151" s="2">
        <v>7</v>
      </c>
      <c r="F151" s="1">
        <v>20</v>
      </c>
      <c r="G151" s="1" t="s">
        <v>230</v>
      </c>
    </row>
    <row r="152" spans="1:7" ht="51" x14ac:dyDescent="0.2">
      <c r="A152" s="2" t="s">
        <v>231</v>
      </c>
      <c r="B152" s="2">
        <v>0.03</v>
      </c>
      <c r="C152" s="2">
        <v>8.0000000000000002E-3</v>
      </c>
      <c r="D152" s="4">
        <v>7</v>
      </c>
      <c r="E152" s="2" t="s">
        <v>84</v>
      </c>
      <c r="F152" s="1" t="s">
        <v>94</v>
      </c>
    </row>
    <row r="153" spans="1:7" ht="51" x14ac:dyDescent="0.2">
      <c r="A153" s="2" t="s">
        <v>232</v>
      </c>
      <c r="B153" s="2">
        <v>1.2</v>
      </c>
      <c r="C153" s="2">
        <v>0.2</v>
      </c>
      <c r="D153" s="4">
        <v>7</v>
      </c>
      <c r="E153" s="2" t="s">
        <v>84</v>
      </c>
      <c r="F153" s="1" t="s">
        <v>94</v>
      </c>
    </row>
    <row r="154" spans="1:7" ht="51" x14ac:dyDescent="0.2">
      <c r="A154" s="2" t="s">
        <v>233</v>
      </c>
      <c r="B154" s="2">
        <v>0.48</v>
      </c>
      <c r="C154" s="2">
        <v>0</v>
      </c>
      <c r="D154" s="4">
        <v>7</v>
      </c>
      <c r="E154" s="2" t="s">
        <v>84</v>
      </c>
      <c r="F154" s="1" t="s">
        <v>94</v>
      </c>
    </row>
    <row r="155" spans="1:7" ht="51" x14ac:dyDescent="0.2">
      <c r="A155" s="2" t="s">
        <v>234</v>
      </c>
      <c r="B155" s="3">
        <v>3.3300000000000002E-4</v>
      </c>
      <c r="C155" s="3">
        <v>7.7999999999999999E-5</v>
      </c>
      <c r="D155" s="4">
        <v>7</v>
      </c>
      <c r="E155" s="2">
        <v>25</v>
      </c>
      <c r="F155" s="1" t="s">
        <v>25</v>
      </c>
    </row>
    <row r="156" spans="1:7" ht="255" x14ac:dyDescent="0.2">
      <c r="A156" s="2" t="s">
        <v>235</v>
      </c>
      <c r="B156" s="2">
        <v>0.04</v>
      </c>
      <c r="C156" s="2">
        <v>1.6E-2</v>
      </c>
      <c r="D156" s="4" t="s">
        <v>130</v>
      </c>
      <c r="E156" s="2" t="s">
        <v>131</v>
      </c>
      <c r="F156" s="1" t="s">
        <v>236</v>
      </c>
    </row>
    <row r="157" spans="1:7" ht="68" x14ac:dyDescent="0.2">
      <c r="A157" s="2" t="s">
        <v>235</v>
      </c>
      <c r="B157" s="2">
        <v>1.7000000000000001E-2</v>
      </c>
      <c r="C157" s="2">
        <v>2E-3</v>
      </c>
      <c r="D157" s="4">
        <v>10.6</v>
      </c>
      <c r="E157" s="2">
        <v>20</v>
      </c>
      <c r="F157" s="1" t="s">
        <v>237</v>
      </c>
    </row>
    <row r="158" spans="1:7" ht="51" x14ac:dyDescent="0.2">
      <c r="A158" s="2" t="s">
        <v>238</v>
      </c>
      <c r="B158" s="2">
        <v>58</v>
      </c>
      <c r="C158" s="2">
        <v>3.1</v>
      </c>
      <c r="D158" s="4">
        <v>7</v>
      </c>
      <c r="E158" s="2" t="s">
        <v>84</v>
      </c>
      <c r="F158" s="1" t="s">
        <v>94</v>
      </c>
    </row>
    <row r="159" spans="1:7" ht="221" x14ac:dyDescent="0.2">
      <c r="A159" s="2" t="s">
        <v>239</v>
      </c>
      <c r="B159" s="3">
        <v>4.5199999999999998E-4</v>
      </c>
      <c r="C159" s="3">
        <v>2.7599999999999999E-4</v>
      </c>
      <c r="D159" s="4" t="s">
        <v>240</v>
      </c>
      <c r="E159" s="2" t="s">
        <v>131</v>
      </c>
      <c r="F159" s="1" t="s">
        <v>241</v>
      </c>
    </row>
    <row r="160" spans="1:7" ht="153" x14ac:dyDescent="0.2">
      <c r="A160" s="2" t="s">
        <v>242</v>
      </c>
      <c r="B160" s="2">
        <v>39.200000000000003</v>
      </c>
      <c r="C160" s="2">
        <v>9.3000000000000007</v>
      </c>
      <c r="D160" s="4" t="s">
        <v>9</v>
      </c>
      <c r="E160" s="2" t="s">
        <v>131</v>
      </c>
      <c r="F160" s="1" t="s">
        <v>243</v>
      </c>
    </row>
    <row r="161" spans="1:6" ht="289" x14ac:dyDescent="0.2">
      <c r="A161" s="2" t="s">
        <v>244</v>
      </c>
      <c r="B161" s="2">
        <v>0.78</v>
      </c>
      <c r="C161" s="2">
        <v>0.1</v>
      </c>
      <c r="D161" s="4">
        <v>45873</v>
      </c>
      <c r="E161" s="2" t="s">
        <v>131</v>
      </c>
      <c r="F161" s="1" t="s">
        <v>245</v>
      </c>
    </row>
    <row r="162" spans="1:6" ht="170" x14ac:dyDescent="0.2">
      <c r="A162" s="2" t="s">
        <v>246</v>
      </c>
      <c r="B162" s="2">
        <v>154</v>
      </c>
      <c r="C162" s="2">
        <v>60</v>
      </c>
      <c r="D162" s="4">
        <v>7</v>
      </c>
      <c r="E162" s="2">
        <v>25</v>
      </c>
      <c r="F162" s="1" t="s">
        <v>247</v>
      </c>
    </row>
    <row r="163" spans="1:6" ht="51" x14ac:dyDescent="0.2">
      <c r="A163" s="2" t="s">
        <v>246</v>
      </c>
      <c r="B163" s="2">
        <v>317</v>
      </c>
      <c r="C163" s="2">
        <v>26</v>
      </c>
      <c r="D163" s="4">
        <v>7</v>
      </c>
      <c r="E163" s="2" t="s">
        <v>84</v>
      </c>
      <c r="F163" s="1" t="s">
        <v>94</v>
      </c>
    </row>
    <row r="164" spans="1:6" ht="68" x14ac:dyDescent="0.2">
      <c r="A164" s="2" t="s">
        <v>248</v>
      </c>
      <c r="B164" s="2">
        <v>1.6</v>
      </c>
      <c r="C164" s="2">
        <v>0.1</v>
      </c>
      <c r="D164" s="4">
        <v>7</v>
      </c>
      <c r="E164" s="2">
        <v>25</v>
      </c>
      <c r="F164" s="1" t="s">
        <v>179</v>
      </c>
    </row>
    <row r="165" spans="1:6" ht="51" x14ac:dyDescent="0.2">
      <c r="A165" s="2" t="s">
        <v>248</v>
      </c>
      <c r="B165" s="2">
        <v>2.64</v>
      </c>
      <c r="C165" s="2">
        <v>0.36</v>
      </c>
      <c r="D165" s="4">
        <v>7</v>
      </c>
      <c r="E165" s="2" t="s">
        <v>84</v>
      </c>
      <c r="F165" s="1" t="s">
        <v>94</v>
      </c>
    </row>
    <row r="166" spans="1:6" ht="51" x14ac:dyDescent="0.2">
      <c r="A166" s="2" t="s">
        <v>249</v>
      </c>
      <c r="B166" s="2">
        <v>111</v>
      </c>
      <c r="C166" s="2">
        <v>6</v>
      </c>
      <c r="D166" s="4">
        <v>13</v>
      </c>
      <c r="E166" s="2">
        <v>25</v>
      </c>
      <c r="F166" s="1"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0FC7-4C44-5444-8B02-4203B2347BCD}">
  <dimension ref="A1:P333"/>
  <sheetViews>
    <sheetView topLeftCell="A51" workbookViewId="0">
      <selection activeCell="D56" sqref="D56"/>
    </sheetView>
  </sheetViews>
  <sheetFormatPr baseColWidth="10" defaultRowHeight="16" x14ac:dyDescent="0.2"/>
  <cols>
    <col min="4" max="4" width="50.5" style="44" bestFit="1" customWidth="1"/>
    <col min="16" max="16" width="154" bestFit="1" customWidth="1"/>
  </cols>
  <sheetData>
    <row r="1" spans="1:16" x14ac:dyDescent="0.2">
      <c r="A1" s="9" t="s">
        <v>310</v>
      </c>
      <c r="B1" s="8" t="s">
        <v>0</v>
      </c>
      <c r="C1" s="10" t="s">
        <v>311</v>
      </c>
      <c r="D1" s="45" t="s">
        <v>965</v>
      </c>
      <c r="E1" s="10" t="s">
        <v>312</v>
      </c>
      <c r="F1" s="11" t="s">
        <v>3</v>
      </c>
      <c r="G1" s="10" t="s">
        <v>313</v>
      </c>
      <c r="H1" s="12" t="s">
        <v>314</v>
      </c>
      <c r="I1" s="13" t="s">
        <v>315</v>
      </c>
      <c r="J1" s="10" t="s">
        <v>316</v>
      </c>
      <c r="K1" s="10" t="s">
        <v>317</v>
      </c>
      <c r="L1" s="10" t="s">
        <v>318</v>
      </c>
      <c r="M1" s="14" t="s">
        <v>319</v>
      </c>
      <c r="N1" s="10" t="s">
        <v>320</v>
      </c>
      <c r="O1" s="10" t="s">
        <v>321</v>
      </c>
      <c r="P1" s="9" t="s">
        <v>322</v>
      </c>
    </row>
    <row r="2" spans="1:16" ht="136" x14ac:dyDescent="0.2">
      <c r="A2" s="15">
        <v>119</v>
      </c>
      <c r="B2" s="16" t="s">
        <v>578</v>
      </c>
      <c r="C2" s="26">
        <v>1.4E-2</v>
      </c>
      <c r="D2" s="44" t="s">
        <v>966</v>
      </c>
      <c r="E2" s="26">
        <v>2E-3</v>
      </c>
      <c r="F2" s="18">
        <v>5.6</v>
      </c>
      <c r="G2" s="19">
        <v>21</v>
      </c>
      <c r="H2" s="20" t="s">
        <v>489</v>
      </c>
      <c r="I2" s="5" t="s">
        <v>514</v>
      </c>
      <c r="J2" s="19" t="s">
        <v>469</v>
      </c>
      <c r="K2" s="19" t="s">
        <v>579</v>
      </c>
      <c r="L2" s="19" t="s">
        <v>564</v>
      </c>
      <c r="M2" s="22">
        <v>28</v>
      </c>
      <c r="N2" s="5" t="s">
        <v>560</v>
      </c>
      <c r="O2" s="5">
        <v>2004</v>
      </c>
      <c r="P2" s="20" t="s">
        <v>561</v>
      </c>
    </row>
    <row r="3" spans="1:16" x14ac:dyDescent="0.2">
      <c r="A3" s="15">
        <v>80</v>
      </c>
      <c r="B3" s="16" t="s">
        <v>488</v>
      </c>
      <c r="C3" s="23">
        <f>0.00238/0.001</f>
        <v>2.3800000000000003</v>
      </c>
      <c r="D3" s="46" t="s">
        <v>967</v>
      </c>
      <c r="E3" s="23">
        <f>1.3/23.8*C3</f>
        <v>0.13000000000000003</v>
      </c>
      <c r="F3" s="18">
        <v>7.1</v>
      </c>
      <c r="G3" s="19">
        <v>21</v>
      </c>
      <c r="H3" s="20" t="s">
        <v>484</v>
      </c>
      <c r="I3" s="5" t="s">
        <v>478</v>
      </c>
      <c r="J3" s="19" t="s">
        <v>469</v>
      </c>
      <c r="K3" s="19" t="s">
        <v>485</v>
      </c>
      <c r="L3" s="19">
        <v>1E-3</v>
      </c>
      <c r="M3" s="22">
        <v>17</v>
      </c>
      <c r="N3" s="5" t="s">
        <v>481</v>
      </c>
      <c r="O3" s="5">
        <v>1999</v>
      </c>
      <c r="P3" s="20" t="s">
        <v>486</v>
      </c>
    </row>
    <row r="4" spans="1:16" x14ac:dyDescent="0.2">
      <c r="A4" s="15">
        <v>99</v>
      </c>
      <c r="B4" s="16" t="s">
        <v>488</v>
      </c>
      <c r="C4" s="23">
        <v>2.1</v>
      </c>
      <c r="D4" s="46" t="s">
        <v>968</v>
      </c>
      <c r="E4" s="23">
        <v>0.2</v>
      </c>
      <c r="F4" s="18">
        <v>7</v>
      </c>
      <c r="G4" s="19">
        <v>20</v>
      </c>
      <c r="H4" s="20" t="s">
        <v>432</v>
      </c>
      <c r="I4" s="5" t="s">
        <v>514</v>
      </c>
      <c r="J4" s="19" t="s">
        <v>469</v>
      </c>
      <c r="K4" s="19" t="s">
        <v>522</v>
      </c>
      <c r="L4" s="19" t="s">
        <v>521</v>
      </c>
      <c r="M4" s="22">
        <v>22</v>
      </c>
      <c r="N4" s="5" t="s">
        <v>517</v>
      </c>
      <c r="O4" s="5">
        <v>2001</v>
      </c>
      <c r="P4" s="20" t="s">
        <v>518</v>
      </c>
    </row>
    <row r="5" spans="1:16" x14ac:dyDescent="0.2">
      <c r="A5" s="15">
        <v>88</v>
      </c>
      <c r="B5" s="16" t="s">
        <v>508</v>
      </c>
      <c r="C5" s="24">
        <v>8.8999999999999995E-4</v>
      </c>
      <c r="D5" s="47" t="s">
        <v>969</v>
      </c>
      <c r="E5" s="24">
        <v>3.0000000000000001E-5</v>
      </c>
      <c r="F5" s="18" t="s">
        <v>502</v>
      </c>
      <c r="G5" s="19">
        <v>20</v>
      </c>
      <c r="H5" s="20" t="s">
        <v>503</v>
      </c>
      <c r="I5" s="5" t="s">
        <v>468</v>
      </c>
      <c r="J5" s="19" t="s">
        <v>469</v>
      </c>
      <c r="K5" s="19" t="s">
        <v>476</v>
      </c>
      <c r="L5" s="19" t="s">
        <v>476</v>
      </c>
      <c r="M5" s="22">
        <v>90</v>
      </c>
      <c r="N5" s="5" t="s">
        <v>506</v>
      </c>
      <c r="O5" s="5">
        <v>1996</v>
      </c>
      <c r="P5" s="20" t="s">
        <v>507</v>
      </c>
    </row>
    <row r="6" spans="1:16" x14ac:dyDescent="0.2">
      <c r="A6" s="15">
        <v>92</v>
      </c>
      <c r="B6" s="16" t="s">
        <v>512</v>
      </c>
      <c r="C6" s="24">
        <v>2.2799999999999999E-3</v>
      </c>
      <c r="D6" s="47" t="s">
        <v>969</v>
      </c>
      <c r="E6" s="24">
        <v>9.0000000000000006E-5</v>
      </c>
      <c r="F6" s="18" t="s">
        <v>502</v>
      </c>
      <c r="G6" s="19">
        <v>20</v>
      </c>
      <c r="H6" s="20" t="s">
        <v>503</v>
      </c>
      <c r="I6" s="5" t="s">
        <v>468</v>
      </c>
      <c r="J6" s="19" t="s">
        <v>469</v>
      </c>
      <c r="K6" s="19" t="s">
        <v>476</v>
      </c>
      <c r="L6" s="19" t="s">
        <v>476</v>
      </c>
      <c r="M6" s="22">
        <v>90</v>
      </c>
      <c r="N6" s="5" t="s">
        <v>506</v>
      </c>
      <c r="O6" s="5">
        <v>1996</v>
      </c>
      <c r="P6" s="20" t="s">
        <v>507</v>
      </c>
    </row>
    <row r="7" spans="1:16" x14ac:dyDescent="0.2">
      <c r="A7" s="15">
        <v>89</v>
      </c>
      <c r="B7" s="16" t="s">
        <v>509</v>
      </c>
      <c r="C7" s="24">
        <v>5.9999999999999995E-4</v>
      </c>
      <c r="D7" s="47" t="s">
        <v>969</v>
      </c>
      <c r="E7" s="24">
        <v>3.0000000000000001E-5</v>
      </c>
      <c r="F7" s="18" t="s">
        <v>502</v>
      </c>
      <c r="G7" s="19">
        <v>20</v>
      </c>
      <c r="H7" s="20" t="s">
        <v>503</v>
      </c>
      <c r="I7" s="5" t="s">
        <v>468</v>
      </c>
      <c r="J7" s="19" t="s">
        <v>469</v>
      </c>
      <c r="K7" s="19" t="s">
        <v>476</v>
      </c>
      <c r="L7" s="19" t="s">
        <v>476</v>
      </c>
      <c r="M7" s="22">
        <v>90</v>
      </c>
      <c r="N7" s="5" t="s">
        <v>506</v>
      </c>
      <c r="O7" s="5">
        <v>1996</v>
      </c>
      <c r="P7" s="20" t="s">
        <v>507</v>
      </c>
    </row>
    <row r="8" spans="1:16" x14ac:dyDescent="0.2">
      <c r="A8" s="15">
        <v>91</v>
      </c>
      <c r="B8" s="16" t="s">
        <v>511</v>
      </c>
      <c r="C8" s="24">
        <v>1.01E-3</v>
      </c>
      <c r="D8" s="47" t="s">
        <v>969</v>
      </c>
      <c r="E8" s="24">
        <v>4.0000000000000003E-5</v>
      </c>
      <c r="F8" s="18" t="s">
        <v>502</v>
      </c>
      <c r="G8" s="19">
        <v>20</v>
      </c>
      <c r="H8" s="20" t="s">
        <v>503</v>
      </c>
      <c r="I8" s="5" t="s">
        <v>468</v>
      </c>
      <c r="J8" s="19" t="s">
        <v>469</v>
      </c>
      <c r="K8" s="19" t="s">
        <v>476</v>
      </c>
      <c r="L8" s="19" t="s">
        <v>476</v>
      </c>
      <c r="M8" s="22">
        <v>90</v>
      </c>
      <c r="N8" s="5" t="s">
        <v>506</v>
      </c>
      <c r="O8" s="5">
        <v>1996</v>
      </c>
      <c r="P8" s="20" t="s">
        <v>507</v>
      </c>
    </row>
    <row r="9" spans="1:16" x14ac:dyDescent="0.2">
      <c r="A9" s="15">
        <v>90</v>
      </c>
      <c r="B9" s="16" t="s">
        <v>510</v>
      </c>
      <c r="C9" s="24">
        <v>1.15E-3</v>
      </c>
      <c r="D9" s="47" t="s">
        <v>969</v>
      </c>
      <c r="E9" s="24">
        <v>5.0000000000000002E-5</v>
      </c>
      <c r="F9" s="18" t="s">
        <v>502</v>
      </c>
      <c r="G9" s="19">
        <v>20</v>
      </c>
      <c r="H9" s="20" t="s">
        <v>503</v>
      </c>
      <c r="I9" s="5" t="s">
        <v>468</v>
      </c>
      <c r="J9" s="19" t="s">
        <v>469</v>
      </c>
      <c r="K9" s="19" t="s">
        <v>476</v>
      </c>
      <c r="L9" s="19" t="s">
        <v>476</v>
      </c>
      <c r="M9" s="22">
        <v>90</v>
      </c>
      <c r="N9" s="5" t="s">
        <v>506</v>
      </c>
      <c r="O9" s="5">
        <v>1996</v>
      </c>
      <c r="P9" s="20" t="s">
        <v>507</v>
      </c>
    </row>
    <row r="10" spans="1:16" x14ac:dyDescent="0.2">
      <c r="A10" s="15">
        <v>134</v>
      </c>
      <c r="B10" s="16" t="s">
        <v>615</v>
      </c>
      <c r="C10" s="24">
        <v>4.1900000000000002E-5</v>
      </c>
      <c r="D10" s="47" t="s">
        <v>970</v>
      </c>
      <c r="E10" s="24"/>
      <c r="F10" s="30">
        <v>7</v>
      </c>
      <c r="G10" s="7">
        <v>25</v>
      </c>
      <c r="H10" s="31" t="s">
        <v>432</v>
      </c>
      <c r="I10" s="5" t="s">
        <v>325</v>
      </c>
      <c r="J10" s="19" t="s">
        <v>326</v>
      </c>
      <c r="K10" s="19" t="s">
        <v>616</v>
      </c>
      <c r="L10" s="19" t="s">
        <v>617</v>
      </c>
      <c r="M10" s="22">
        <v>31</v>
      </c>
      <c r="N10" s="5" t="s">
        <v>611</v>
      </c>
      <c r="O10" s="5">
        <v>2006</v>
      </c>
      <c r="P10" s="20" t="s">
        <v>612</v>
      </c>
    </row>
    <row r="11" spans="1:16" x14ac:dyDescent="0.2">
      <c r="A11" s="15">
        <v>238</v>
      </c>
      <c r="B11" s="16" t="s">
        <v>768</v>
      </c>
      <c r="C11" s="17">
        <v>81.900000000000006</v>
      </c>
      <c r="D11" s="48" t="s">
        <v>970</v>
      </c>
      <c r="E11" s="17"/>
      <c r="F11" s="18">
        <v>7</v>
      </c>
      <c r="G11" s="19">
        <v>25</v>
      </c>
      <c r="H11" s="20" t="s">
        <v>742</v>
      </c>
      <c r="I11" s="5" t="s">
        <v>765</v>
      </c>
      <c r="J11" s="19" t="s">
        <v>469</v>
      </c>
      <c r="K11" s="19" t="s">
        <v>485</v>
      </c>
      <c r="L11" s="19" t="s">
        <v>769</v>
      </c>
      <c r="M11" s="22">
        <v>48</v>
      </c>
      <c r="N11" s="5" t="s">
        <v>678</v>
      </c>
      <c r="O11" s="5">
        <v>2012</v>
      </c>
      <c r="P11" s="20" t="s">
        <v>767</v>
      </c>
    </row>
    <row r="12" spans="1:16" x14ac:dyDescent="0.2">
      <c r="A12" s="15">
        <v>296</v>
      </c>
      <c r="B12" s="16" t="s">
        <v>882</v>
      </c>
      <c r="C12" s="23">
        <v>1.1000000000000001</v>
      </c>
      <c r="D12" s="46" t="s">
        <v>971</v>
      </c>
      <c r="E12" s="23">
        <v>0.1</v>
      </c>
      <c r="F12" s="18">
        <v>5.6</v>
      </c>
      <c r="G12" s="19">
        <v>23</v>
      </c>
      <c r="H12" s="20" t="s">
        <v>489</v>
      </c>
      <c r="I12" s="5" t="s">
        <v>325</v>
      </c>
      <c r="J12" s="19" t="s">
        <v>326</v>
      </c>
      <c r="K12" s="19" t="s">
        <v>883</v>
      </c>
      <c r="L12" s="19" t="s">
        <v>737</v>
      </c>
      <c r="M12" s="22">
        <v>73</v>
      </c>
      <c r="N12" s="5" t="s">
        <v>875</v>
      </c>
      <c r="O12" s="5">
        <v>2019</v>
      </c>
      <c r="P12" s="20" t="s">
        <v>876</v>
      </c>
    </row>
    <row r="13" spans="1:16" x14ac:dyDescent="0.2">
      <c r="A13" s="15">
        <v>306</v>
      </c>
      <c r="B13" s="16" t="s">
        <v>900</v>
      </c>
      <c r="C13" s="23">
        <v>0.76</v>
      </c>
      <c r="D13" s="46" t="s">
        <v>970</v>
      </c>
      <c r="E13" s="23"/>
      <c r="F13" s="18">
        <v>7</v>
      </c>
      <c r="G13" s="19">
        <v>25</v>
      </c>
      <c r="H13" s="20" t="s">
        <v>792</v>
      </c>
      <c r="I13" s="5" t="s">
        <v>548</v>
      </c>
      <c r="J13" s="19" t="s">
        <v>469</v>
      </c>
      <c r="K13" s="19" t="s">
        <v>813</v>
      </c>
      <c r="L13" s="19" t="s">
        <v>894</v>
      </c>
      <c r="M13" s="22">
        <v>76</v>
      </c>
      <c r="N13" s="5" t="s">
        <v>811</v>
      </c>
      <c r="O13" s="5">
        <v>2019</v>
      </c>
      <c r="P13" s="20" t="s">
        <v>895</v>
      </c>
    </row>
    <row r="14" spans="1:16" ht="90" x14ac:dyDescent="0.2">
      <c r="A14" s="15">
        <v>252</v>
      </c>
      <c r="B14" s="16" t="s">
        <v>794</v>
      </c>
      <c r="C14" s="17">
        <v>37</v>
      </c>
      <c r="D14" s="48" t="s">
        <v>975</v>
      </c>
      <c r="E14" s="7">
        <v>4</v>
      </c>
      <c r="F14" s="18">
        <v>7</v>
      </c>
      <c r="G14" s="19">
        <v>25</v>
      </c>
      <c r="H14" s="20" t="s">
        <v>792</v>
      </c>
      <c r="I14" s="5" t="s">
        <v>548</v>
      </c>
      <c r="J14" s="19" t="s">
        <v>469</v>
      </c>
      <c r="K14" s="19" t="s">
        <v>795</v>
      </c>
      <c r="L14" s="19" t="s">
        <v>796</v>
      </c>
      <c r="M14" s="22">
        <v>54</v>
      </c>
      <c r="N14" s="5" t="s">
        <v>678</v>
      </c>
      <c r="O14" s="5">
        <v>2014</v>
      </c>
      <c r="P14" s="20" t="s">
        <v>797</v>
      </c>
    </row>
    <row r="15" spans="1:16" ht="240" x14ac:dyDescent="0.2">
      <c r="A15" s="15">
        <v>277</v>
      </c>
      <c r="B15" s="16" t="s">
        <v>794</v>
      </c>
      <c r="C15" s="17">
        <v>23</v>
      </c>
      <c r="D15" s="48" t="s">
        <v>1003</v>
      </c>
      <c r="E15" s="17">
        <v>1.7</v>
      </c>
      <c r="F15" s="18">
        <v>7</v>
      </c>
      <c r="G15" s="19">
        <v>25</v>
      </c>
      <c r="H15" s="20" t="s">
        <v>848</v>
      </c>
      <c r="I15" s="5" t="s">
        <v>548</v>
      </c>
      <c r="J15" s="19" t="s">
        <v>469</v>
      </c>
      <c r="K15" s="19" t="s">
        <v>852</v>
      </c>
      <c r="L15" s="19" t="s">
        <v>849</v>
      </c>
      <c r="M15" s="22">
        <v>67</v>
      </c>
      <c r="N15" s="5" t="s">
        <v>850</v>
      </c>
      <c r="O15" s="5">
        <v>2018</v>
      </c>
      <c r="P15" s="20" t="s">
        <v>851</v>
      </c>
    </row>
    <row r="16" spans="1:16" x14ac:dyDescent="0.2">
      <c r="A16" s="15">
        <v>303</v>
      </c>
      <c r="B16" s="16" t="s">
        <v>897</v>
      </c>
      <c r="C16" s="23">
        <v>0.67</v>
      </c>
      <c r="D16" s="46" t="s">
        <v>970</v>
      </c>
      <c r="E16" s="23"/>
      <c r="F16" s="18">
        <v>7</v>
      </c>
      <c r="G16" s="19">
        <v>25</v>
      </c>
      <c r="H16" s="20" t="s">
        <v>792</v>
      </c>
      <c r="I16" s="5" t="s">
        <v>548</v>
      </c>
      <c r="J16" s="19" t="s">
        <v>469</v>
      </c>
      <c r="K16" s="19" t="s">
        <v>813</v>
      </c>
      <c r="L16" s="19" t="s">
        <v>894</v>
      </c>
      <c r="M16" s="22">
        <v>76</v>
      </c>
      <c r="N16" s="5" t="s">
        <v>811</v>
      </c>
      <c r="O16" s="5">
        <v>2019</v>
      </c>
      <c r="P16" s="20" t="s">
        <v>895</v>
      </c>
    </row>
    <row r="17" spans="1:16" ht="45" x14ac:dyDescent="0.2">
      <c r="A17" s="15">
        <v>145</v>
      </c>
      <c r="B17" s="16" t="s">
        <v>636</v>
      </c>
      <c r="C17" s="17">
        <v>74</v>
      </c>
      <c r="D17" s="48" t="s">
        <v>983</v>
      </c>
      <c r="E17" s="17">
        <v>7</v>
      </c>
      <c r="F17" s="30">
        <v>7</v>
      </c>
      <c r="G17" s="7">
        <v>25</v>
      </c>
      <c r="H17" s="31" t="s">
        <v>432</v>
      </c>
      <c r="I17" s="5" t="s">
        <v>325</v>
      </c>
      <c r="J17" s="19" t="s">
        <v>326</v>
      </c>
      <c r="K17" s="19" t="s">
        <v>637</v>
      </c>
      <c r="L17" s="19" t="s">
        <v>638</v>
      </c>
      <c r="M17" s="22">
        <v>31</v>
      </c>
      <c r="N17" s="5" t="s">
        <v>611</v>
      </c>
      <c r="O17" s="5">
        <v>2006</v>
      </c>
      <c r="P17" s="20" t="s">
        <v>612</v>
      </c>
    </row>
    <row r="18" spans="1:16" x14ac:dyDescent="0.2">
      <c r="A18" s="15">
        <v>212</v>
      </c>
      <c r="B18" s="16" t="s">
        <v>636</v>
      </c>
      <c r="C18" s="17">
        <v>13.58</v>
      </c>
      <c r="D18" s="48" t="s">
        <v>970</v>
      </c>
      <c r="E18" s="17"/>
      <c r="F18" s="18">
        <v>7</v>
      </c>
      <c r="G18" s="19">
        <v>19</v>
      </c>
      <c r="H18" s="20" t="s">
        <v>666</v>
      </c>
      <c r="I18" s="5" t="s">
        <v>548</v>
      </c>
      <c r="J18" s="19" t="s">
        <v>469</v>
      </c>
      <c r="K18" s="19">
        <v>5</v>
      </c>
      <c r="L18" s="19">
        <v>5.0000000000000002E-5</v>
      </c>
      <c r="M18" s="22">
        <v>41</v>
      </c>
      <c r="N18" s="5" t="s">
        <v>667</v>
      </c>
      <c r="O18" s="5">
        <v>2010</v>
      </c>
      <c r="P18" s="20" t="s">
        <v>735</v>
      </c>
    </row>
    <row r="19" spans="1:16" ht="136" x14ac:dyDescent="0.2">
      <c r="A19" s="15">
        <v>222</v>
      </c>
      <c r="B19" s="16" t="s">
        <v>636</v>
      </c>
      <c r="C19" s="17">
        <v>16.2</v>
      </c>
      <c r="D19" s="44" t="s">
        <v>995</v>
      </c>
      <c r="E19" s="17">
        <f>0.206/24.3*C19</f>
        <v>0.13733333333333334</v>
      </c>
      <c r="F19" s="18">
        <v>5.3</v>
      </c>
      <c r="G19" s="19">
        <v>22</v>
      </c>
      <c r="H19" s="20" t="s">
        <v>756</v>
      </c>
      <c r="I19" s="5" t="s">
        <v>325</v>
      </c>
      <c r="J19" s="19" t="s">
        <v>469</v>
      </c>
      <c r="K19" s="19">
        <v>9.4</v>
      </c>
      <c r="L19" s="19">
        <v>1.5E-3</v>
      </c>
      <c r="M19" s="22">
        <v>46</v>
      </c>
      <c r="N19" s="5" t="s">
        <v>757</v>
      </c>
      <c r="O19" s="5">
        <v>2011</v>
      </c>
      <c r="P19" s="20" t="s">
        <v>758</v>
      </c>
    </row>
    <row r="20" spans="1:16" x14ac:dyDescent="0.2">
      <c r="A20" s="15">
        <v>228</v>
      </c>
      <c r="B20" s="16" t="s">
        <v>636</v>
      </c>
      <c r="C20" s="17">
        <v>24.1</v>
      </c>
      <c r="D20" s="48" t="s">
        <v>970</v>
      </c>
      <c r="E20" s="17"/>
      <c r="F20" s="18">
        <v>7</v>
      </c>
      <c r="G20" s="19">
        <v>25</v>
      </c>
      <c r="H20" s="20" t="s">
        <v>759</v>
      </c>
      <c r="I20" s="5" t="s">
        <v>548</v>
      </c>
      <c r="J20" s="19" t="s">
        <v>469</v>
      </c>
      <c r="K20" s="19">
        <v>10</v>
      </c>
      <c r="L20" s="19">
        <v>5.0000000000000002E-5</v>
      </c>
      <c r="M20" s="22">
        <v>47</v>
      </c>
      <c r="N20" s="5" t="s">
        <v>760</v>
      </c>
      <c r="O20" s="5">
        <v>2012</v>
      </c>
      <c r="P20" s="20" t="s">
        <v>761</v>
      </c>
    </row>
    <row r="21" spans="1:16" x14ac:dyDescent="0.2">
      <c r="A21" s="15">
        <v>23</v>
      </c>
      <c r="B21" s="16" t="s">
        <v>383</v>
      </c>
      <c r="C21" s="24">
        <v>3.9100000000000002E-4</v>
      </c>
      <c r="D21" s="47" t="s">
        <v>970</v>
      </c>
      <c r="E21" s="24"/>
      <c r="F21" s="18">
        <v>4.5999999999999996</v>
      </c>
      <c r="G21" s="19">
        <v>20</v>
      </c>
      <c r="H21" s="20" t="s">
        <v>376</v>
      </c>
      <c r="I21" s="5" t="s">
        <v>377</v>
      </c>
      <c r="J21" s="19" t="s">
        <v>326</v>
      </c>
      <c r="K21" s="7">
        <v>14.2</v>
      </c>
      <c r="L21" s="19">
        <v>0.13100000000000001</v>
      </c>
      <c r="M21" s="22">
        <v>3</v>
      </c>
      <c r="N21" s="5" t="s">
        <v>378</v>
      </c>
      <c r="O21" s="5">
        <v>1967</v>
      </c>
      <c r="P21" s="20" t="s">
        <v>379</v>
      </c>
    </row>
    <row r="22" spans="1:16" ht="136" x14ac:dyDescent="0.2">
      <c r="A22" s="15">
        <v>120</v>
      </c>
      <c r="B22" s="16" t="s">
        <v>580</v>
      </c>
      <c r="C22" s="26">
        <v>1.7999999999999999E-2</v>
      </c>
      <c r="D22" s="44" t="s">
        <v>966</v>
      </c>
      <c r="E22" s="26">
        <v>3.0000000000000001E-3</v>
      </c>
      <c r="F22" s="18">
        <v>5.6</v>
      </c>
      <c r="G22" s="19">
        <v>21</v>
      </c>
      <c r="H22" s="20" t="s">
        <v>489</v>
      </c>
      <c r="I22" s="5" t="s">
        <v>514</v>
      </c>
      <c r="J22" s="19" t="s">
        <v>469</v>
      </c>
      <c r="K22" s="19" t="s">
        <v>581</v>
      </c>
      <c r="L22" s="19" t="s">
        <v>564</v>
      </c>
      <c r="M22" s="22">
        <v>28</v>
      </c>
      <c r="N22" s="5" t="s">
        <v>560</v>
      </c>
      <c r="O22" s="5">
        <v>2004</v>
      </c>
      <c r="P22" s="20" t="s">
        <v>561</v>
      </c>
    </row>
    <row r="23" spans="1:16" ht="240" x14ac:dyDescent="0.2">
      <c r="A23" s="15">
        <v>282</v>
      </c>
      <c r="B23" s="16" t="s">
        <v>854</v>
      </c>
      <c r="C23" s="17">
        <v>85.1</v>
      </c>
      <c r="D23" s="48" t="s">
        <v>1003</v>
      </c>
      <c r="E23" s="17">
        <v>6.1</v>
      </c>
      <c r="F23" s="18">
        <v>7</v>
      </c>
      <c r="G23" s="19">
        <v>25</v>
      </c>
      <c r="H23" s="20" t="s">
        <v>848</v>
      </c>
      <c r="I23" s="5" t="s">
        <v>548</v>
      </c>
      <c r="J23" s="19" t="s">
        <v>469</v>
      </c>
      <c r="K23" s="19" t="s">
        <v>852</v>
      </c>
      <c r="L23" s="19" t="s">
        <v>849</v>
      </c>
      <c r="M23" s="22">
        <v>67</v>
      </c>
      <c r="N23" s="5" t="s">
        <v>850</v>
      </c>
      <c r="O23" s="5">
        <v>2018</v>
      </c>
      <c r="P23" s="20" t="s">
        <v>851</v>
      </c>
    </row>
    <row r="24" spans="1:16" x14ac:dyDescent="0.2">
      <c r="A24" s="15">
        <v>41</v>
      </c>
      <c r="B24" s="16" t="s">
        <v>417</v>
      </c>
      <c r="C24" s="26">
        <f>0.0346</f>
        <v>3.4599999999999999E-2</v>
      </c>
      <c r="D24" s="49" t="s">
        <v>970</v>
      </c>
      <c r="E24" s="26"/>
      <c r="F24" s="18">
        <v>6.8</v>
      </c>
      <c r="G24" s="19">
        <v>35</v>
      </c>
      <c r="H24" s="20" t="s">
        <v>410</v>
      </c>
      <c r="I24" s="5" t="s">
        <v>377</v>
      </c>
      <c r="J24" s="19" t="s">
        <v>326</v>
      </c>
      <c r="K24" s="7">
        <f>L24/0.0002</f>
        <v>5.2899999999999991</v>
      </c>
      <c r="L24" s="19">
        <v>1.0579999999999999E-3</v>
      </c>
      <c r="M24" s="22">
        <v>8</v>
      </c>
      <c r="N24" s="5" t="s">
        <v>411</v>
      </c>
      <c r="O24" s="5">
        <v>1976</v>
      </c>
      <c r="P24" s="20" t="s">
        <v>412</v>
      </c>
    </row>
    <row r="25" spans="1:16" x14ac:dyDescent="0.2">
      <c r="A25" s="15">
        <v>38</v>
      </c>
      <c r="B25" s="16" t="s">
        <v>414</v>
      </c>
      <c r="C25" s="23">
        <f>0.305</f>
        <v>0.30499999999999999</v>
      </c>
      <c r="D25" s="46" t="s">
        <v>970</v>
      </c>
      <c r="E25" s="23"/>
      <c r="F25" s="18">
        <v>6.8</v>
      </c>
      <c r="G25" s="19">
        <v>35</v>
      </c>
      <c r="H25" s="20" t="s">
        <v>410</v>
      </c>
      <c r="I25" s="5" t="s">
        <v>377</v>
      </c>
      <c r="J25" s="19" t="s">
        <v>326</v>
      </c>
      <c r="K25" s="7">
        <f>L25/0.0002</f>
        <v>6.2749999999999995</v>
      </c>
      <c r="L25" s="19">
        <v>1.255E-3</v>
      </c>
      <c r="M25" s="22">
        <v>8</v>
      </c>
      <c r="N25" s="5" t="s">
        <v>411</v>
      </c>
      <c r="O25" s="5">
        <v>1976</v>
      </c>
      <c r="P25" s="20" t="s">
        <v>412</v>
      </c>
    </row>
    <row r="26" spans="1:16" x14ac:dyDescent="0.2">
      <c r="A26" s="15">
        <v>139</v>
      </c>
      <c r="B26" s="16" t="s">
        <v>414</v>
      </c>
      <c r="C26" s="23">
        <v>0.24299999999999999</v>
      </c>
      <c r="D26" s="46" t="s">
        <v>970</v>
      </c>
      <c r="E26" s="23"/>
      <c r="F26" s="30">
        <v>7</v>
      </c>
      <c r="G26" s="7">
        <v>25</v>
      </c>
      <c r="H26" s="31" t="s">
        <v>432</v>
      </c>
      <c r="I26" s="5" t="s">
        <v>325</v>
      </c>
      <c r="J26" s="19" t="s">
        <v>326</v>
      </c>
      <c r="K26" s="19">
        <v>5</v>
      </c>
      <c r="L26" s="19">
        <v>2E-3</v>
      </c>
      <c r="M26" s="22">
        <v>31</v>
      </c>
      <c r="N26" s="5" t="s">
        <v>611</v>
      </c>
      <c r="O26" s="5">
        <v>2006</v>
      </c>
      <c r="P26" s="20" t="s">
        <v>612</v>
      </c>
    </row>
    <row r="27" spans="1:16" ht="30" x14ac:dyDescent="0.2">
      <c r="A27" s="15">
        <v>11</v>
      </c>
      <c r="B27" s="16" t="s">
        <v>355</v>
      </c>
      <c r="C27" s="7">
        <v>242</v>
      </c>
      <c r="D27" s="50" t="s">
        <v>972</v>
      </c>
      <c r="E27" s="7">
        <v>12</v>
      </c>
      <c r="F27" s="18">
        <v>13</v>
      </c>
      <c r="G27" s="19">
        <v>25</v>
      </c>
      <c r="H27" s="20" t="s">
        <v>345</v>
      </c>
      <c r="I27" s="5" t="s">
        <v>325</v>
      </c>
      <c r="J27" s="19" t="s">
        <v>326</v>
      </c>
      <c r="K27" s="19" t="s">
        <v>356</v>
      </c>
      <c r="L27" s="19" t="s">
        <v>357</v>
      </c>
      <c r="M27" s="22">
        <v>2</v>
      </c>
      <c r="N27" s="5" t="s">
        <v>327</v>
      </c>
      <c r="O27" s="5">
        <v>1966</v>
      </c>
      <c r="P27" s="20" t="s">
        <v>343</v>
      </c>
    </row>
    <row r="28" spans="1:16" x14ac:dyDescent="0.2">
      <c r="A28" s="15">
        <v>231</v>
      </c>
      <c r="B28" s="16" t="s">
        <v>762</v>
      </c>
      <c r="C28" s="23">
        <v>9.43</v>
      </c>
      <c r="D28" s="46" t="s">
        <v>970</v>
      </c>
      <c r="E28" s="23"/>
      <c r="F28" s="18">
        <v>7</v>
      </c>
      <c r="G28" s="19">
        <v>25</v>
      </c>
      <c r="H28" s="20" t="s">
        <v>759</v>
      </c>
      <c r="I28" s="5" t="s">
        <v>548</v>
      </c>
      <c r="J28" s="19" t="s">
        <v>469</v>
      </c>
      <c r="K28" s="19">
        <v>10</v>
      </c>
      <c r="L28" s="19">
        <v>5.0000000000000002E-5</v>
      </c>
      <c r="M28" s="22">
        <v>47</v>
      </c>
      <c r="N28" s="5" t="s">
        <v>760</v>
      </c>
      <c r="O28" s="5">
        <v>2012</v>
      </c>
      <c r="P28" s="20" t="s">
        <v>761</v>
      </c>
    </row>
    <row r="29" spans="1:16" ht="45" x14ac:dyDescent="0.2">
      <c r="A29" s="15">
        <v>144</v>
      </c>
      <c r="B29" s="16" t="s">
        <v>634</v>
      </c>
      <c r="C29" s="17">
        <v>77</v>
      </c>
      <c r="D29" s="48" t="s">
        <v>982</v>
      </c>
      <c r="E29" s="17">
        <v>5</v>
      </c>
      <c r="F29" s="30">
        <v>7</v>
      </c>
      <c r="G29" s="7">
        <v>25</v>
      </c>
      <c r="H29" s="31" t="s">
        <v>432</v>
      </c>
      <c r="I29" s="5" t="s">
        <v>325</v>
      </c>
      <c r="J29" s="19" t="s">
        <v>326</v>
      </c>
      <c r="K29" s="19" t="s">
        <v>423</v>
      </c>
      <c r="L29" s="19" t="s">
        <v>635</v>
      </c>
      <c r="M29" s="22">
        <v>31</v>
      </c>
      <c r="N29" s="5" t="s">
        <v>611</v>
      </c>
      <c r="O29" s="5">
        <v>2006</v>
      </c>
      <c r="P29" s="20" t="s">
        <v>612</v>
      </c>
    </row>
    <row r="30" spans="1:16" ht="60" x14ac:dyDescent="0.2">
      <c r="A30" s="15">
        <v>255</v>
      </c>
      <c r="B30" s="16" t="s">
        <v>800</v>
      </c>
      <c r="C30" s="17">
        <v>17</v>
      </c>
      <c r="D30" s="48" t="s">
        <v>976</v>
      </c>
      <c r="E30" s="7">
        <v>4</v>
      </c>
      <c r="F30" s="18">
        <v>7</v>
      </c>
      <c r="G30" s="19">
        <v>25</v>
      </c>
      <c r="H30" s="20" t="s">
        <v>792</v>
      </c>
      <c r="I30" s="5" t="s">
        <v>548</v>
      </c>
      <c r="J30" s="19" t="s">
        <v>469</v>
      </c>
      <c r="K30" s="19" t="s">
        <v>795</v>
      </c>
      <c r="L30" s="19" t="s">
        <v>796</v>
      </c>
      <c r="M30" s="22">
        <v>54</v>
      </c>
      <c r="N30" s="5" t="s">
        <v>678</v>
      </c>
      <c r="O30" s="5">
        <v>2014</v>
      </c>
      <c r="P30" s="20" t="s">
        <v>797</v>
      </c>
    </row>
    <row r="31" spans="1:16" x14ac:dyDescent="0.2">
      <c r="A31" s="15">
        <v>107</v>
      </c>
      <c r="B31" s="16" t="s">
        <v>543</v>
      </c>
      <c r="C31" s="17">
        <f>0.0334/60/(0.002/158)</f>
        <v>43.976666666666667</v>
      </c>
      <c r="D31" s="46" t="s">
        <v>970</v>
      </c>
      <c r="E31" s="17"/>
      <c r="F31" s="18">
        <v>7.2</v>
      </c>
      <c r="G31" s="19">
        <v>16</v>
      </c>
      <c r="H31" s="20" t="s">
        <v>538</v>
      </c>
      <c r="I31" s="5" t="s">
        <v>539</v>
      </c>
      <c r="J31" s="19" t="s">
        <v>469</v>
      </c>
      <c r="K31" s="7">
        <f>13/(100/163)</f>
        <v>21.19</v>
      </c>
      <c r="L31" s="19">
        <v>1.2999999999999999E-5</v>
      </c>
      <c r="M31" s="22">
        <v>25</v>
      </c>
      <c r="N31" s="5" t="s">
        <v>540</v>
      </c>
      <c r="O31" s="5">
        <v>2003</v>
      </c>
      <c r="P31" s="20" t="s">
        <v>541</v>
      </c>
    </row>
    <row r="32" spans="1:16" ht="60" x14ac:dyDescent="0.2">
      <c r="A32" s="15">
        <v>147</v>
      </c>
      <c r="B32" s="16" t="s">
        <v>543</v>
      </c>
      <c r="C32" s="7">
        <v>142</v>
      </c>
      <c r="D32" s="50" t="s">
        <v>978</v>
      </c>
      <c r="E32" s="7">
        <v>3</v>
      </c>
      <c r="F32" s="30">
        <v>7</v>
      </c>
      <c r="G32" s="7">
        <v>25</v>
      </c>
      <c r="H32" s="31" t="s">
        <v>432</v>
      </c>
      <c r="I32" s="5" t="s">
        <v>325</v>
      </c>
      <c r="J32" s="19" t="s">
        <v>326</v>
      </c>
      <c r="K32" s="19" t="s">
        <v>423</v>
      </c>
      <c r="L32" s="19" t="s">
        <v>635</v>
      </c>
      <c r="M32" s="22">
        <v>31</v>
      </c>
      <c r="N32" s="5" t="s">
        <v>611</v>
      </c>
      <c r="O32" s="5">
        <v>2006</v>
      </c>
      <c r="P32" s="20" t="s">
        <v>612</v>
      </c>
    </row>
    <row r="33" spans="1:16" ht="105" x14ac:dyDescent="0.2">
      <c r="A33" s="15">
        <v>163</v>
      </c>
      <c r="B33" s="16" t="s">
        <v>543</v>
      </c>
      <c r="C33" s="17">
        <v>19.100000000000001</v>
      </c>
      <c r="D33" s="48" t="s">
        <v>992</v>
      </c>
      <c r="E33" s="17">
        <f>0.05*C33</f>
        <v>0.95500000000000007</v>
      </c>
      <c r="F33" s="18">
        <v>7</v>
      </c>
      <c r="G33" s="19">
        <v>23</v>
      </c>
      <c r="H33" s="20" t="s">
        <v>675</v>
      </c>
      <c r="I33" s="5" t="s">
        <v>548</v>
      </c>
      <c r="J33" s="19" t="s">
        <v>469</v>
      </c>
      <c r="K33" s="19" t="s">
        <v>476</v>
      </c>
      <c r="L33" s="19" t="s">
        <v>476</v>
      </c>
      <c r="M33" s="22">
        <v>37</v>
      </c>
      <c r="N33" s="5" t="s">
        <v>678</v>
      </c>
      <c r="O33" s="5">
        <v>2009</v>
      </c>
      <c r="P33" s="20" t="s">
        <v>679</v>
      </c>
    </row>
    <row r="34" spans="1:16" ht="75" x14ac:dyDescent="0.2">
      <c r="A34" s="15">
        <v>225</v>
      </c>
      <c r="B34" s="16" t="s">
        <v>543</v>
      </c>
      <c r="C34" s="23">
        <v>3.8</v>
      </c>
      <c r="D34" s="46" t="s">
        <v>994</v>
      </c>
      <c r="E34" s="23">
        <f>0.0479/5.74*C34</f>
        <v>3.171080139372822E-2</v>
      </c>
      <c r="F34" s="18">
        <v>5.3</v>
      </c>
      <c r="G34" s="19">
        <v>22</v>
      </c>
      <c r="H34" s="20" t="s">
        <v>756</v>
      </c>
      <c r="I34" s="5" t="s">
        <v>325</v>
      </c>
      <c r="J34" s="19" t="s">
        <v>469</v>
      </c>
      <c r="K34" s="19">
        <v>9.4</v>
      </c>
      <c r="L34" s="19">
        <v>1.5E-3</v>
      </c>
      <c r="M34" s="22">
        <v>46</v>
      </c>
      <c r="N34" s="5" t="s">
        <v>757</v>
      </c>
      <c r="O34" s="5">
        <v>2011</v>
      </c>
      <c r="P34" s="20" t="s">
        <v>758</v>
      </c>
    </row>
    <row r="35" spans="1:16" x14ac:dyDescent="0.2">
      <c r="A35" s="15">
        <v>232</v>
      </c>
      <c r="B35" s="16" t="s">
        <v>543</v>
      </c>
      <c r="C35" s="17">
        <v>18.7</v>
      </c>
      <c r="D35" s="46" t="s">
        <v>970</v>
      </c>
      <c r="E35" s="17"/>
      <c r="F35" s="18">
        <v>7</v>
      </c>
      <c r="G35" s="19">
        <v>25</v>
      </c>
      <c r="H35" s="20" t="s">
        <v>759</v>
      </c>
      <c r="I35" s="5" t="s">
        <v>548</v>
      </c>
      <c r="J35" s="19" t="s">
        <v>469</v>
      </c>
      <c r="K35" s="19">
        <v>10</v>
      </c>
      <c r="L35" s="19">
        <v>5.0000000000000002E-5</v>
      </c>
      <c r="M35" s="22">
        <v>47</v>
      </c>
      <c r="N35" s="5" t="s">
        <v>760</v>
      </c>
      <c r="O35" s="5">
        <v>2012</v>
      </c>
      <c r="P35" s="20" t="s">
        <v>761</v>
      </c>
    </row>
    <row r="36" spans="1:16" ht="60" x14ac:dyDescent="0.2">
      <c r="A36" s="15">
        <v>140</v>
      </c>
      <c r="B36" s="16" t="s">
        <v>625</v>
      </c>
      <c r="C36" s="26">
        <f>AVERAGE(0.0643,0.056)</f>
        <v>6.0149999999999995E-2</v>
      </c>
      <c r="D36" s="49" t="s">
        <v>977</v>
      </c>
      <c r="E36" s="26">
        <f>STDEV(0.0643,0.056)</f>
        <v>5.8689862838483412E-3</v>
      </c>
      <c r="F36" s="30">
        <v>7</v>
      </c>
      <c r="G36" s="7">
        <v>25</v>
      </c>
      <c r="H36" s="31" t="s">
        <v>432</v>
      </c>
      <c r="I36" s="5" t="s">
        <v>325</v>
      </c>
      <c r="J36" s="19" t="s">
        <v>326</v>
      </c>
      <c r="K36" s="19" t="s">
        <v>626</v>
      </c>
      <c r="L36" s="19" t="s">
        <v>627</v>
      </c>
      <c r="M36" s="22">
        <v>31</v>
      </c>
      <c r="N36" s="5" t="s">
        <v>611</v>
      </c>
      <c r="O36" s="5">
        <v>2006</v>
      </c>
      <c r="P36" s="20" t="s">
        <v>612</v>
      </c>
    </row>
    <row r="37" spans="1:16" ht="60" x14ac:dyDescent="0.2">
      <c r="A37" s="15">
        <v>148</v>
      </c>
      <c r="B37" s="16" t="s">
        <v>641</v>
      </c>
      <c r="C37" s="7">
        <v>120</v>
      </c>
      <c r="D37" s="50" t="s">
        <v>978</v>
      </c>
      <c r="E37" s="7">
        <v>9</v>
      </c>
      <c r="F37" s="30">
        <v>7</v>
      </c>
      <c r="G37" s="7">
        <v>25</v>
      </c>
      <c r="H37" s="20" t="s">
        <v>432</v>
      </c>
      <c r="I37" s="5" t="s">
        <v>325</v>
      </c>
      <c r="J37" s="19" t="s">
        <v>326</v>
      </c>
      <c r="K37" s="19" t="s">
        <v>356</v>
      </c>
      <c r="L37" s="19" t="s">
        <v>332</v>
      </c>
      <c r="M37" s="22">
        <v>31</v>
      </c>
      <c r="N37" s="5" t="s">
        <v>611</v>
      </c>
      <c r="O37" s="5">
        <v>2006</v>
      </c>
      <c r="P37" s="20" t="s">
        <v>612</v>
      </c>
    </row>
    <row r="38" spans="1:16" x14ac:dyDescent="0.2">
      <c r="A38" s="15">
        <v>235</v>
      </c>
      <c r="B38" s="16" t="s">
        <v>641</v>
      </c>
      <c r="C38" s="17">
        <v>14.47</v>
      </c>
      <c r="D38" s="46" t="s">
        <v>970</v>
      </c>
      <c r="E38" s="17"/>
      <c r="F38" s="18">
        <v>7</v>
      </c>
      <c r="G38" s="19">
        <v>25</v>
      </c>
      <c r="H38" s="20" t="s">
        <v>759</v>
      </c>
      <c r="I38" s="5" t="s">
        <v>548</v>
      </c>
      <c r="J38" s="19" t="s">
        <v>469</v>
      </c>
      <c r="K38" s="19">
        <v>10</v>
      </c>
      <c r="L38" s="19">
        <v>5.0000000000000002E-5</v>
      </c>
      <c r="M38" s="22">
        <v>47</v>
      </c>
      <c r="N38" s="5" t="s">
        <v>760</v>
      </c>
      <c r="O38" s="5">
        <v>2012</v>
      </c>
      <c r="P38" s="20" t="s">
        <v>761</v>
      </c>
    </row>
    <row r="39" spans="1:16" ht="75" x14ac:dyDescent="0.2">
      <c r="A39" s="15">
        <v>319</v>
      </c>
      <c r="B39" s="16" t="s">
        <v>932</v>
      </c>
      <c r="C39" s="19">
        <v>88</v>
      </c>
      <c r="D39" s="51" t="s">
        <v>996</v>
      </c>
      <c r="E39" s="19">
        <v>5.5</v>
      </c>
      <c r="F39" s="18">
        <v>5.3</v>
      </c>
      <c r="G39" s="7">
        <v>23</v>
      </c>
      <c r="H39" s="20" t="s">
        <v>489</v>
      </c>
      <c r="I39" s="34" t="s">
        <v>548</v>
      </c>
      <c r="J39" s="19" t="s">
        <v>469</v>
      </c>
      <c r="K39" s="19" t="s">
        <v>933</v>
      </c>
      <c r="L39" s="19" t="s">
        <v>934</v>
      </c>
      <c r="M39" s="22">
        <v>83</v>
      </c>
      <c r="N39" s="5" t="s">
        <v>928</v>
      </c>
      <c r="O39" s="5">
        <v>2022</v>
      </c>
      <c r="P39" s="20" t="s">
        <v>929</v>
      </c>
    </row>
    <row r="40" spans="1:16" x14ac:dyDescent="0.2">
      <c r="A40" s="15">
        <v>141</v>
      </c>
      <c r="B40" s="16" t="s">
        <v>628</v>
      </c>
      <c r="C40" s="24">
        <v>5.6300000000000002E-4</v>
      </c>
      <c r="D40" s="46" t="s">
        <v>970</v>
      </c>
      <c r="E40" s="24"/>
      <c r="F40" s="30">
        <v>7</v>
      </c>
      <c r="G40" s="7">
        <v>25</v>
      </c>
      <c r="H40" s="31" t="s">
        <v>432</v>
      </c>
      <c r="I40" s="5" t="s">
        <v>325</v>
      </c>
      <c r="J40" s="19" t="s">
        <v>326</v>
      </c>
      <c r="K40" s="19">
        <v>50</v>
      </c>
      <c r="L40" s="26">
        <v>5.0000000000000001E-3</v>
      </c>
      <c r="M40" s="22">
        <v>31</v>
      </c>
      <c r="N40" s="5" t="s">
        <v>611</v>
      </c>
      <c r="O40" s="5">
        <v>2006</v>
      </c>
      <c r="P40" s="20" t="s">
        <v>612</v>
      </c>
    </row>
    <row r="41" spans="1:16" x14ac:dyDescent="0.2">
      <c r="A41" s="15">
        <v>142</v>
      </c>
      <c r="B41" s="16" t="s">
        <v>629</v>
      </c>
      <c r="C41" s="23">
        <v>0.16</v>
      </c>
      <c r="D41" s="46" t="s">
        <v>970</v>
      </c>
      <c r="E41" s="23"/>
      <c r="F41" s="30">
        <v>7</v>
      </c>
      <c r="G41" s="7">
        <v>22</v>
      </c>
      <c r="H41" s="31" t="s">
        <v>432</v>
      </c>
      <c r="I41" s="5" t="s">
        <v>325</v>
      </c>
      <c r="J41" s="19" t="s">
        <v>326</v>
      </c>
      <c r="K41" s="19" t="s">
        <v>630</v>
      </c>
      <c r="L41" s="19" t="s">
        <v>631</v>
      </c>
      <c r="M41" s="22">
        <v>31</v>
      </c>
      <c r="N41" s="5" t="s">
        <v>611</v>
      </c>
      <c r="O41" s="5">
        <v>2006</v>
      </c>
      <c r="P41" s="20" t="s">
        <v>612</v>
      </c>
    </row>
    <row r="42" spans="1:16" ht="60" x14ac:dyDescent="0.2">
      <c r="A42" s="15">
        <v>221</v>
      </c>
      <c r="B42" s="16" t="s">
        <v>629</v>
      </c>
      <c r="C42" s="24">
        <v>1.1800000000000001E-3</v>
      </c>
      <c r="D42" s="47" t="s">
        <v>1000</v>
      </c>
      <c r="E42" s="24">
        <v>2.0000000000000002E-5</v>
      </c>
      <c r="F42" s="18">
        <v>7</v>
      </c>
      <c r="G42" s="19">
        <v>25</v>
      </c>
      <c r="H42" s="20" t="s">
        <v>751</v>
      </c>
      <c r="I42" s="5" t="s">
        <v>548</v>
      </c>
      <c r="J42" s="19" t="s">
        <v>469</v>
      </c>
      <c r="K42" s="19" t="s">
        <v>752</v>
      </c>
      <c r="L42" s="19" t="s">
        <v>753</v>
      </c>
      <c r="M42" s="22">
        <v>45</v>
      </c>
      <c r="N42" s="5" t="s">
        <v>754</v>
      </c>
      <c r="O42" s="5">
        <v>2011</v>
      </c>
      <c r="P42" s="20" t="s">
        <v>755</v>
      </c>
    </row>
    <row r="43" spans="1:16" ht="75" x14ac:dyDescent="0.2">
      <c r="A43" s="15">
        <v>256</v>
      </c>
      <c r="B43" s="16" t="s">
        <v>801</v>
      </c>
      <c r="C43" s="17">
        <v>49</v>
      </c>
      <c r="D43" s="48" t="s">
        <v>973</v>
      </c>
      <c r="E43" s="7">
        <v>4</v>
      </c>
      <c r="F43" s="18">
        <v>7</v>
      </c>
      <c r="G43" s="19">
        <v>25</v>
      </c>
      <c r="H43" s="20" t="s">
        <v>792</v>
      </c>
      <c r="I43" s="5" t="s">
        <v>548</v>
      </c>
      <c r="J43" s="19" t="s">
        <v>469</v>
      </c>
      <c r="K43" s="19" t="s">
        <v>795</v>
      </c>
      <c r="L43" s="19" t="s">
        <v>796</v>
      </c>
      <c r="M43" s="22">
        <v>54</v>
      </c>
      <c r="N43" s="5" t="s">
        <v>678</v>
      </c>
      <c r="O43" s="5">
        <v>2014</v>
      </c>
      <c r="P43" s="20" t="s">
        <v>797</v>
      </c>
    </row>
    <row r="44" spans="1:16" x14ac:dyDescent="0.2">
      <c r="A44" s="15">
        <v>108</v>
      </c>
      <c r="B44" s="16" t="s">
        <v>544</v>
      </c>
      <c r="C44" s="17">
        <f>0.0243/60/(0.002/158)</f>
        <v>31.994999999999997</v>
      </c>
      <c r="D44" s="48" t="s">
        <v>970</v>
      </c>
      <c r="E44" s="17"/>
      <c r="F44" s="18">
        <v>7.2</v>
      </c>
      <c r="G44" s="19">
        <v>16</v>
      </c>
      <c r="H44" s="20" t="s">
        <v>538</v>
      </c>
      <c r="I44" s="5" t="s">
        <v>539</v>
      </c>
      <c r="J44" s="19" t="s">
        <v>469</v>
      </c>
      <c r="K44" s="7">
        <f>13/(100/163)</f>
        <v>21.19</v>
      </c>
      <c r="L44" s="19">
        <v>1.2999999999999999E-5</v>
      </c>
      <c r="M44" s="22">
        <v>25</v>
      </c>
      <c r="N44" s="5" t="s">
        <v>540</v>
      </c>
      <c r="O44" s="5">
        <v>2003</v>
      </c>
      <c r="P44" s="20" t="s">
        <v>541</v>
      </c>
    </row>
    <row r="45" spans="1:16" ht="75" x14ac:dyDescent="0.2">
      <c r="A45" s="15">
        <v>226</v>
      </c>
      <c r="B45" s="16" t="s">
        <v>544</v>
      </c>
      <c r="C45" s="17">
        <v>12.9</v>
      </c>
      <c r="D45" s="48" t="s">
        <v>994</v>
      </c>
      <c r="E45" s="26">
        <f>0.0627/19.4*C45</f>
        <v>4.1692268041237122E-2</v>
      </c>
      <c r="F45" s="18">
        <v>5.3</v>
      </c>
      <c r="G45" s="19">
        <v>22</v>
      </c>
      <c r="H45" s="20" t="s">
        <v>756</v>
      </c>
      <c r="I45" s="5" t="s">
        <v>325</v>
      </c>
      <c r="J45" s="19" t="s">
        <v>469</v>
      </c>
      <c r="K45" s="19">
        <v>9.4</v>
      </c>
      <c r="L45" s="19">
        <v>1.5E-3</v>
      </c>
      <c r="M45" s="22">
        <v>46</v>
      </c>
      <c r="N45" s="5" t="s">
        <v>757</v>
      </c>
      <c r="O45" s="5">
        <v>2011</v>
      </c>
      <c r="P45" s="20" t="s">
        <v>758</v>
      </c>
    </row>
    <row r="46" spans="1:16" x14ac:dyDescent="0.2">
      <c r="A46" s="15">
        <v>233</v>
      </c>
      <c r="B46" s="16" t="s">
        <v>544</v>
      </c>
      <c r="C46" s="17">
        <v>43.67</v>
      </c>
      <c r="D46" s="48" t="s">
        <v>970</v>
      </c>
      <c r="E46" s="17"/>
      <c r="F46" s="18">
        <v>7</v>
      </c>
      <c r="G46" s="19">
        <v>25</v>
      </c>
      <c r="H46" s="20" t="s">
        <v>759</v>
      </c>
      <c r="I46" s="5" t="s">
        <v>548</v>
      </c>
      <c r="J46" s="19" t="s">
        <v>469</v>
      </c>
      <c r="K46" s="19">
        <v>10</v>
      </c>
      <c r="L46" s="19">
        <v>5.0000000000000002E-5</v>
      </c>
      <c r="M46" s="22">
        <v>47</v>
      </c>
      <c r="N46" s="5" t="s">
        <v>760</v>
      </c>
      <c r="O46" s="5">
        <v>2012</v>
      </c>
      <c r="P46" s="20" t="s">
        <v>761</v>
      </c>
    </row>
    <row r="47" spans="1:16" ht="45" x14ac:dyDescent="0.2">
      <c r="A47" s="15">
        <v>327</v>
      </c>
      <c r="B47" s="16" t="s">
        <v>544</v>
      </c>
      <c r="C47" s="7">
        <f>21400/60</f>
        <v>356.66666666666669</v>
      </c>
      <c r="D47" s="50" t="s">
        <v>1001</v>
      </c>
      <c r="E47" s="7">
        <f>1000/60</f>
        <v>16.666666666666668</v>
      </c>
      <c r="F47" s="18">
        <v>7</v>
      </c>
      <c r="G47" s="19">
        <v>25</v>
      </c>
      <c r="H47" s="20" t="s">
        <v>823</v>
      </c>
      <c r="I47" s="34" t="s">
        <v>952</v>
      </c>
      <c r="J47" s="19" t="s">
        <v>653</v>
      </c>
      <c r="K47" s="19" t="s">
        <v>393</v>
      </c>
      <c r="L47" s="19" t="s">
        <v>393</v>
      </c>
      <c r="M47" s="22">
        <v>87</v>
      </c>
      <c r="N47" s="5" t="s">
        <v>540</v>
      </c>
      <c r="O47" s="5">
        <v>2022</v>
      </c>
      <c r="P47" s="20" t="s">
        <v>955</v>
      </c>
    </row>
    <row r="48" spans="1:16" ht="75" x14ac:dyDescent="0.2">
      <c r="A48" s="15">
        <v>320</v>
      </c>
      <c r="B48" s="16" t="s">
        <v>935</v>
      </c>
      <c r="C48" s="19">
        <v>399</v>
      </c>
      <c r="D48" s="51" t="s">
        <v>996</v>
      </c>
      <c r="E48" s="19">
        <v>58</v>
      </c>
      <c r="F48" s="18">
        <v>5.3</v>
      </c>
      <c r="G48" s="7">
        <v>23</v>
      </c>
      <c r="H48" s="20" t="s">
        <v>489</v>
      </c>
      <c r="I48" s="34" t="s">
        <v>548</v>
      </c>
      <c r="J48" s="19" t="s">
        <v>469</v>
      </c>
      <c r="K48" s="19" t="s">
        <v>936</v>
      </c>
      <c r="L48" s="19" t="s">
        <v>937</v>
      </c>
      <c r="M48" s="22">
        <v>83</v>
      </c>
      <c r="N48" s="5" t="s">
        <v>928</v>
      </c>
      <c r="O48" s="5">
        <v>2022</v>
      </c>
      <c r="P48" s="20" t="s">
        <v>929</v>
      </c>
    </row>
    <row r="49" spans="1:16" x14ac:dyDescent="0.2">
      <c r="A49" s="15">
        <v>307</v>
      </c>
      <c r="B49" s="16" t="s">
        <v>901</v>
      </c>
      <c r="C49" s="23">
        <v>1.57</v>
      </c>
      <c r="D49" s="48" t="s">
        <v>970</v>
      </c>
      <c r="E49" s="23"/>
      <c r="F49" s="18">
        <v>7</v>
      </c>
      <c r="G49" s="19">
        <v>25</v>
      </c>
      <c r="H49" s="20" t="s">
        <v>792</v>
      </c>
      <c r="I49" s="5" t="s">
        <v>548</v>
      </c>
      <c r="J49" s="19" t="s">
        <v>469</v>
      </c>
      <c r="K49" s="19" t="s">
        <v>813</v>
      </c>
      <c r="L49" s="19" t="s">
        <v>894</v>
      </c>
      <c r="M49" s="22">
        <v>76</v>
      </c>
      <c r="N49" s="5" t="s">
        <v>811</v>
      </c>
      <c r="O49" s="5">
        <v>2019</v>
      </c>
      <c r="P49" s="20" t="s">
        <v>895</v>
      </c>
    </row>
    <row r="50" spans="1:16" x14ac:dyDescent="0.2">
      <c r="A50" s="15">
        <v>62</v>
      </c>
      <c r="B50" s="16" t="s">
        <v>448</v>
      </c>
      <c r="C50" s="7">
        <v>684</v>
      </c>
      <c r="D50" s="50" t="s">
        <v>999</v>
      </c>
      <c r="E50" s="7">
        <v>2</v>
      </c>
      <c r="F50" s="18">
        <v>13.7</v>
      </c>
      <c r="G50" s="19">
        <v>15</v>
      </c>
      <c r="H50" s="20" t="s">
        <v>449</v>
      </c>
      <c r="I50" s="5" t="s">
        <v>325</v>
      </c>
      <c r="J50" s="19" t="s">
        <v>326</v>
      </c>
      <c r="K50" s="19">
        <v>20</v>
      </c>
      <c r="L50" s="19">
        <v>7.6E-3</v>
      </c>
      <c r="M50" s="22">
        <v>12</v>
      </c>
      <c r="N50" s="5" t="s">
        <v>444</v>
      </c>
      <c r="O50" s="5">
        <v>1985</v>
      </c>
      <c r="P50" s="20" t="s">
        <v>445</v>
      </c>
    </row>
    <row r="51" spans="1:16" ht="60" x14ac:dyDescent="0.2">
      <c r="A51" s="15">
        <v>253</v>
      </c>
      <c r="B51" s="16" t="s">
        <v>798</v>
      </c>
      <c r="C51" s="23">
        <v>3</v>
      </c>
      <c r="D51" s="46" t="s">
        <v>974</v>
      </c>
      <c r="E51" s="7">
        <v>2</v>
      </c>
      <c r="F51" s="18">
        <v>7</v>
      </c>
      <c r="G51" s="19">
        <v>25</v>
      </c>
      <c r="H51" s="20" t="s">
        <v>792</v>
      </c>
      <c r="I51" s="5" t="s">
        <v>548</v>
      </c>
      <c r="J51" s="19" t="s">
        <v>469</v>
      </c>
      <c r="K51" s="19" t="s">
        <v>795</v>
      </c>
      <c r="L51" s="19" t="s">
        <v>796</v>
      </c>
      <c r="M51" s="22">
        <v>54</v>
      </c>
      <c r="N51" s="5" t="s">
        <v>678</v>
      </c>
      <c r="O51" s="5">
        <v>2014</v>
      </c>
      <c r="P51" s="20" t="s">
        <v>797</v>
      </c>
    </row>
    <row r="52" spans="1:16" ht="240" x14ac:dyDescent="0.2">
      <c r="A52" s="15">
        <v>278</v>
      </c>
      <c r="B52" s="16" t="s">
        <v>798</v>
      </c>
      <c r="C52" s="23">
        <v>1.4</v>
      </c>
      <c r="D52" s="46" t="s">
        <v>1002</v>
      </c>
      <c r="E52" s="23">
        <v>0.1</v>
      </c>
      <c r="F52" s="18">
        <v>7</v>
      </c>
      <c r="G52" s="19">
        <v>25</v>
      </c>
      <c r="H52" s="20" t="s">
        <v>848</v>
      </c>
      <c r="I52" s="5" t="s">
        <v>548</v>
      </c>
      <c r="J52" s="19" t="s">
        <v>469</v>
      </c>
      <c r="K52" s="19" t="s">
        <v>852</v>
      </c>
      <c r="L52" s="19" t="s">
        <v>849</v>
      </c>
      <c r="M52" s="22">
        <v>67</v>
      </c>
      <c r="N52" s="5" t="s">
        <v>850</v>
      </c>
      <c r="O52" s="5">
        <v>2018</v>
      </c>
      <c r="P52" s="20" t="s">
        <v>851</v>
      </c>
    </row>
    <row r="53" spans="1:16" x14ac:dyDescent="0.2">
      <c r="A53" s="15">
        <v>304</v>
      </c>
      <c r="B53" s="16" t="s">
        <v>898</v>
      </c>
      <c r="C53" s="23">
        <v>0.72</v>
      </c>
      <c r="D53" s="48" t="s">
        <v>970</v>
      </c>
      <c r="E53" s="23"/>
      <c r="F53" s="18">
        <v>7</v>
      </c>
      <c r="G53" s="19">
        <v>25</v>
      </c>
      <c r="H53" s="20" t="s">
        <v>792</v>
      </c>
      <c r="I53" s="5" t="s">
        <v>548</v>
      </c>
      <c r="J53" s="19" t="s">
        <v>469</v>
      </c>
      <c r="K53" s="19" t="s">
        <v>813</v>
      </c>
      <c r="L53" s="19" t="s">
        <v>894</v>
      </c>
      <c r="M53" s="22">
        <v>76</v>
      </c>
      <c r="N53" s="5" t="s">
        <v>811</v>
      </c>
      <c r="O53" s="5">
        <v>2019</v>
      </c>
      <c r="P53" s="20" t="s">
        <v>895</v>
      </c>
    </row>
    <row r="54" spans="1:16" x14ac:dyDescent="0.2">
      <c r="A54" s="15">
        <v>61</v>
      </c>
      <c r="B54" s="16" t="s">
        <v>447</v>
      </c>
      <c r="C54" s="7">
        <v>855</v>
      </c>
      <c r="D54" s="50" t="s">
        <v>999</v>
      </c>
      <c r="E54" s="7">
        <v>4</v>
      </c>
      <c r="F54" s="18">
        <v>11.3</v>
      </c>
      <c r="G54" s="19">
        <v>25</v>
      </c>
      <c r="H54" s="20" t="s">
        <v>443</v>
      </c>
      <c r="I54" s="5" t="s">
        <v>325</v>
      </c>
      <c r="J54" s="19" t="s">
        <v>326</v>
      </c>
      <c r="K54" s="19">
        <v>20</v>
      </c>
      <c r="L54" s="19">
        <v>7.6E-3</v>
      </c>
      <c r="M54" s="22">
        <v>12</v>
      </c>
      <c r="N54" s="5" t="s">
        <v>444</v>
      </c>
      <c r="O54" s="5">
        <v>1985</v>
      </c>
      <c r="P54" s="20" t="s">
        <v>445</v>
      </c>
    </row>
    <row r="55" spans="1:16" ht="60" x14ac:dyDescent="0.2">
      <c r="A55" s="15">
        <v>146</v>
      </c>
      <c r="B55" s="16" t="s">
        <v>639</v>
      </c>
      <c r="C55" s="17">
        <v>13.4</v>
      </c>
      <c r="D55" s="48" t="s">
        <v>981</v>
      </c>
      <c r="E55" s="17">
        <v>0.7</v>
      </c>
      <c r="F55" s="30">
        <v>7</v>
      </c>
      <c r="G55" s="7">
        <v>25</v>
      </c>
      <c r="H55" s="31" t="s">
        <v>432</v>
      </c>
      <c r="I55" s="5" t="s">
        <v>325</v>
      </c>
      <c r="J55" s="19" t="s">
        <v>326</v>
      </c>
      <c r="K55" s="19" t="s">
        <v>640</v>
      </c>
      <c r="L55" s="19" t="s">
        <v>342</v>
      </c>
      <c r="M55" s="22">
        <v>31</v>
      </c>
      <c r="N55" s="5" t="s">
        <v>611</v>
      </c>
      <c r="O55" s="5">
        <v>2006</v>
      </c>
      <c r="P55" s="20" t="s">
        <v>612</v>
      </c>
    </row>
    <row r="56" spans="1:16" ht="75" x14ac:dyDescent="0.2">
      <c r="A56" s="15">
        <v>223</v>
      </c>
      <c r="B56" s="16" t="s">
        <v>639</v>
      </c>
      <c r="C56" s="23">
        <v>0.95</v>
      </c>
      <c r="D56" s="46" t="s">
        <v>994</v>
      </c>
      <c r="E56" s="23">
        <f>0.0011/1.42*C56</f>
        <v>7.3591549295774653E-4</v>
      </c>
      <c r="F56" s="18">
        <v>5.3</v>
      </c>
      <c r="G56" s="19">
        <v>22</v>
      </c>
      <c r="H56" s="20" t="s">
        <v>756</v>
      </c>
      <c r="I56" s="5" t="s">
        <v>325</v>
      </c>
      <c r="J56" s="19" t="s">
        <v>469</v>
      </c>
      <c r="K56" s="19">
        <v>9.4</v>
      </c>
      <c r="L56" s="19">
        <v>1.5E-3</v>
      </c>
      <c r="M56" s="22">
        <v>46</v>
      </c>
      <c r="N56" s="5" t="s">
        <v>757</v>
      </c>
      <c r="O56" s="5">
        <v>2011</v>
      </c>
      <c r="P56" s="20" t="s">
        <v>758</v>
      </c>
    </row>
    <row r="57" spans="1:16" x14ac:dyDescent="0.2">
      <c r="A57" s="15">
        <v>229</v>
      </c>
      <c r="B57" s="16" t="s">
        <v>639</v>
      </c>
      <c r="C57" s="23">
        <v>2.13</v>
      </c>
      <c r="D57" s="48" t="s">
        <v>970</v>
      </c>
      <c r="E57" s="23"/>
      <c r="F57" s="18">
        <v>7</v>
      </c>
      <c r="G57" s="19">
        <v>25</v>
      </c>
      <c r="H57" s="20" t="s">
        <v>759</v>
      </c>
      <c r="I57" s="5" t="s">
        <v>548</v>
      </c>
      <c r="J57" s="19" t="s">
        <v>469</v>
      </c>
      <c r="K57" s="19">
        <v>10</v>
      </c>
      <c r="L57" s="19">
        <v>5.0000000000000002E-5</v>
      </c>
      <c r="M57" s="22">
        <v>47</v>
      </c>
      <c r="N57" s="5" t="s">
        <v>760</v>
      </c>
      <c r="O57" s="5">
        <v>2012</v>
      </c>
      <c r="P57" s="20" t="s">
        <v>761</v>
      </c>
    </row>
    <row r="58" spans="1:16" ht="75" x14ac:dyDescent="0.2">
      <c r="A58" s="15">
        <v>322</v>
      </c>
      <c r="B58" s="16" t="s">
        <v>941</v>
      </c>
      <c r="C58" s="19">
        <v>2.67</v>
      </c>
      <c r="D58" s="51" t="s">
        <v>996</v>
      </c>
      <c r="E58" s="19">
        <v>0.43</v>
      </c>
      <c r="F58" s="18">
        <v>5.3</v>
      </c>
      <c r="G58" s="7">
        <v>23</v>
      </c>
      <c r="H58" s="20" t="s">
        <v>489</v>
      </c>
      <c r="I58" s="34" t="s">
        <v>325</v>
      </c>
      <c r="J58" s="19" t="s">
        <v>326</v>
      </c>
      <c r="K58" s="19" t="s">
        <v>942</v>
      </c>
      <c r="L58" s="19">
        <v>2.5000000000000001E-4</v>
      </c>
      <c r="M58" s="22">
        <v>83</v>
      </c>
      <c r="N58" s="5" t="s">
        <v>928</v>
      </c>
      <c r="O58" s="5">
        <v>2022</v>
      </c>
      <c r="P58" s="20" t="s">
        <v>929</v>
      </c>
    </row>
    <row r="59" spans="1:16" x14ac:dyDescent="0.2">
      <c r="A59" s="15">
        <v>59</v>
      </c>
      <c r="B59" s="16" t="s">
        <v>446</v>
      </c>
      <c r="C59" s="7">
        <v>880</v>
      </c>
      <c r="D59" s="50" t="s">
        <v>999</v>
      </c>
      <c r="E59" s="7">
        <v>16</v>
      </c>
      <c r="F59" s="18">
        <v>11.3</v>
      </c>
      <c r="G59" s="19">
        <v>25</v>
      </c>
      <c r="H59" s="20" t="s">
        <v>443</v>
      </c>
      <c r="I59" s="5" t="s">
        <v>325</v>
      </c>
      <c r="J59" s="19" t="s">
        <v>326</v>
      </c>
      <c r="K59" s="19">
        <v>20</v>
      </c>
      <c r="L59" s="19">
        <v>7.6E-3</v>
      </c>
      <c r="M59" s="22">
        <v>12</v>
      </c>
      <c r="N59" s="5" t="s">
        <v>444</v>
      </c>
      <c r="O59" s="5">
        <v>1985</v>
      </c>
      <c r="P59" s="20" t="s">
        <v>445</v>
      </c>
    </row>
    <row r="60" spans="1:16" ht="45" x14ac:dyDescent="0.2">
      <c r="A60" s="15">
        <v>329</v>
      </c>
      <c r="B60" s="16" t="s">
        <v>957</v>
      </c>
      <c r="C60" s="19">
        <f>18300/60</f>
        <v>305</v>
      </c>
      <c r="D60" s="51" t="s">
        <v>1001</v>
      </c>
      <c r="E60" s="7">
        <f>800/60</f>
        <v>13.333333333333334</v>
      </c>
      <c r="F60" s="18">
        <v>7</v>
      </c>
      <c r="G60" s="19">
        <v>25</v>
      </c>
      <c r="H60" s="20" t="s">
        <v>823</v>
      </c>
      <c r="I60" s="34" t="s">
        <v>952</v>
      </c>
      <c r="J60" s="19" t="s">
        <v>653</v>
      </c>
      <c r="K60" s="19" t="s">
        <v>393</v>
      </c>
      <c r="L60" s="19" t="s">
        <v>393</v>
      </c>
      <c r="M60" s="22">
        <v>87</v>
      </c>
      <c r="N60" s="5" t="s">
        <v>540</v>
      </c>
      <c r="O60" s="5">
        <v>2022</v>
      </c>
      <c r="P60" s="20" t="s">
        <v>955</v>
      </c>
    </row>
    <row r="61" spans="1:16" ht="60" x14ac:dyDescent="0.2">
      <c r="A61" s="15">
        <v>149</v>
      </c>
      <c r="B61" s="16" t="s">
        <v>642</v>
      </c>
      <c r="C61" s="17">
        <v>98</v>
      </c>
      <c r="D61" s="48" t="s">
        <v>980</v>
      </c>
      <c r="E61" s="17">
        <v>4</v>
      </c>
      <c r="F61" s="30">
        <v>7</v>
      </c>
      <c r="G61" s="7">
        <v>25</v>
      </c>
      <c r="H61" s="20" t="s">
        <v>432</v>
      </c>
      <c r="I61" s="5" t="s">
        <v>325</v>
      </c>
      <c r="J61" s="19" t="s">
        <v>326</v>
      </c>
      <c r="K61" s="19" t="s">
        <v>423</v>
      </c>
      <c r="L61" s="19" t="s">
        <v>635</v>
      </c>
      <c r="M61" s="22">
        <v>31</v>
      </c>
      <c r="N61" s="5" t="s">
        <v>611</v>
      </c>
      <c r="O61" s="5">
        <v>2006</v>
      </c>
      <c r="P61" s="20" t="s">
        <v>612</v>
      </c>
    </row>
    <row r="62" spans="1:16" ht="240" x14ac:dyDescent="0.2">
      <c r="A62" s="15">
        <v>283</v>
      </c>
      <c r="B62" s="16" t="s">
        <v>642</v>
      </c>
      <c r="C62" s="17">
        <v>23.1</v>
      </c>
      <c r="D62" s="48" t="s">
        <v>1003</v>
      </c>
      <c r="E62" s="17">
        <v>1.7</v>
      </c>
      <c r="F62" s="18">
        <v>7</v>
      </c>
      <c r="G62" s="19">
        <v>25</v>
      </c>
      <c r="H62" s="20" t="s">
        <v>848</v>
      </c>
      <c r="I62" s="5" t="s">
        <v>548</v>
      </c>
      <c r="J62" s="19" t="s">
        <v>469</v>
      </c>
      <c r="K62" s="19" t="s">
        <v>852</v>
      </c>
      <c r="L62" s="19" t="s">
        <v>849</v>
      </c>
      <c r="M62" s="22">
        <v>67</v>
      </c>
      <c r="N62" s="5" t="s">
        <v>850</v>
      </c>
      <c r="O62" s="5">
        <v>2018</v>
      </c>
      <c r="P62" s="20" t="s">
        <v>851</v>
      </c>
    </row>
    <row r="63" spans="1:16" ht="45" x14ac:dyDescent="0.2">
      <c r="A63" s="15">
        <v>326</v>
      </c>
      <c r="B63" s="16" t="s">
        <v>642</v>
      </c>
      <c r="C63" s="17">
        <f>4040/60</f>
        <v>67.333333333333329</v>
      </c>
      <c r="D63" s="48" t="s">
        <v>1001</v>
      </c>
      <c r="E63" s="17">
        <f>200/60</f>
        <v>3.3333333333333335</v>
      </c>
      <c r="F63" s="18">
        <v>7</v>
      </c>
      <c r="G63" s="19">
        <v>25</v>
      </c>
      <c r="H63" s="20" t="s">
        <v>823</v>
      </c>
      <c r="I63" s="34" t="s">
        <v>952</v>
      </c>
      <c r="J63" s="19" t="s">
        <v>469</v>
      </c>
      <c r="K63" s="19" t="s">
        <v>953</v>
      </c>
      <c r="L63" s="19" t="s">
        <v>954</v>
      </c>
      <c r="M63" s="22">
        <v>87</v>
      </c>
      <c r="N63" s="5" t="s">
        <v>540</v>
      </c>
      <c r="O63" s="5">
        <v>2022</v>
      </c>
      <c r="P63" s="20" t="s">
        <v>955</v>
      </c>
    </row>
    <row r="64" spans="1:16" x14ac:dyDescent="0.2">
      <c r="A64" s="15">
        <v>40</v>
      </c>
      <c r="B64" s="16" t="s">
        <v>416</v>
      </c>
      <c r="C64" s="23">
        <f>0.1782</f>
        <v>0.1782</v>
      </c>
      <c r="D64" s="48" t="s">
        <v>970</v>
      </c>
      <c r="E64" s="23"/>
      <c r="F64" s="18">
        <v>6.8</v>
      </c>
      <c r="G64" s="19">
        <v>35</v>
      </c>
      <c r="H64" s="20" t="s">
        <v>410</v>
      </c>
      <c r="I64" s="5" t="s">
        <v>377</v>
      </c>
      <c r="J64" s="19" t="s">
        <v>326</v>
      </c>
      <c r="K64" s="7">
        <f>L64/0.0002</f>
        <v>5.8</v>
      </c>
      <c r="L64" s="19">
        <v>1.16E-3</v>
      </c>
      <c r="M64" s="22">
        <v>8</v>
      </c>
      <c r="N64" s="5" t="s">
        <v>411</v>
      </c>
      <c r="O64" s="5">
        <v>1976</v>
      </c>
      <c r="P64" s="20" t="s">
        <v>412</v>
      </c>
    </row>
    <row r="65" spans="1:16" x14ac:dyDescent="0.2">
      <c r="A65" s="15">
        <v>64</v>
      </c>
      <c r="B65" s="16" t="s">
        <v>451</v>
      </c>
      <c r="C65" s="7">
        <v>965</v>
      </c>
      <c r="D65" s="50" t="s">
        <v>999</v>
      </c>
      <c r="E65" s="7">
        <v>6</v>
      </c>
      <c r="F65" s="18">
        <v>11.3</v>
      </c>
      <c r="G65" s="19">
        <v>25</v>
      </c>
      <c r="H65" s="20" t="s">
        <v>443</v>
      </c>
      <c r="I65" s="5" t="s">
        <v>325</v>
      </c>
      <c r="J65" s="19" t="s">
        <v>326</v>
      </c>
      <c r="K65" s="19">
        <v>20</v>
      </c>
      <c r="L65" s="19">
        <v>7.6E-3</v>
      </c>
      <c r="M65" s="22">
        <v>12</v>
      </c>
      <c r="N65" s="5" t="s">
        <v>444</v>
      </c>
      <c r="O65" s="5">
        <v>1985</v>
      </c>
      <c r="P65" s="20" t="s">
        <v>445</v>
      </c>
    </row>
    <row r="66" spans="1:16" x14ac:dyDescent="0.2">
      <c r="A66" s="15">
        <v>37</v>
      </c>
      <c r="B66" s="16" t="s">
        <v>413</v>
      </c>
      <c r="C66" s="23">
        <f>0.8696</f>
        <v>0.86960000000000004</v>
      </c>
      <c r="D66" s="48" t="s">
        <v>970</v>
      </c>
      <c r="E66" s="23"/>
      <c r="F66" s="18">
        <v>6.8</v>
      </c>
      <c r="G66" s="19">
        <v>35</v>
      </c>
      <c r="H66" s="20" t="s">
        <v>410</v>
      </c>
      <c r="I66" s="5" t="s">
        <v>377</v>
      </c>
      <c r="J66" s="19" t="s">
        <v>326</v>
      </c>
      <c r="K66" s="7">
        <f>L66/0.0002</f>
        <v>5.5750000000000002</v>
      </c>
      <c r="L66" s="27">
        <v>1.1150000000000001E-3</v>
      </c>
      <c r="M66" s="22">
        <v>8</v>
      </c>
      <c r="N66" s="5" t="s">
        <v>411</v>
      </c>
      <c r="O66" s="5">
        <v>1976</v>
      </c>
      <c r="P66" s="20" t="s">
        <v>412</v>
      </c>
    </row>
    <row r="67" spans="1:16" x14ac:dyDescent="0.2">
      <c r="A67" s="15">
        <v>12</v>
      </c>
      <c r="B67" s="16" t="s">
        <v>358</v>
      </c>
      <c r="C67" s="7">
        <v>455</v>
      </c>
      <c r="D67" s="50" t="s">
        <v>1013</v>
      </c>
      <c r="E67" s="7">
        <v>23</v>
      </c>
      <c r="F67" s="18">
        <v>13</v>
      </c>
      <c r="G67" s="19">
        <v>25</v>
      </c>
      <c r="H67" s="20" t="s">
        <v>345</v>
      </c>
      <c r="I67" s="5" t="s">
        <v>325</v>
      </c>
      <c r="J67" s="19" t="s">
        <v>326</v>
      </c>
      <c r="K67" s="19" t="s">
        <v>359</v>
      </c>
      <c r="L67" s="19" t="s">
        <v>360</v>
      </c>
      <c r="M67" s="22">
        <v>2</v>
      </c>
      <c r="N67" s="5" t="s">
        <v>327</v>
      </c>
      <c r="O67" s="5">
        <v>1966</v>
      </c>
      <c r="P67" s="20" t="s">
        <v>343</v>
      </c>
    </row>
    <row r="68" spans="1:16" x14ac:dyDescent="0.2">
      <c r="A68" s="15">
        <v>63</v>
      </c>
      <c r="B68" s="16" t="s">
        <v>450</v>
      </c>
      <c r="C68" s="7">
        <v>834</v>
      </c>
      <c r="D68" s="50" t="s">
        <v>999</v>
      </c>
      <c r="E68" s="7">
        <v>39</v>
      </c>
      <c r="F68" s="18">
        <v>11.3</v>
      </c>
      <c r="G68" s="19">
        <v>25</v>
      </c>
      <c r="H68" s="20" t="s">
        <v>443</v>
      </c>
      <c r="I68" s="5" t="s">
        <v>325</v>
      </c>
      <c r="J68" s="19" t="s">
        <v>326</v>
      </c>
      <c r="K68" s="19">
        <v>20</v>
      </c>
      <c r="L68" s="19">
        <v>7.6E-3</v>
      </c>
      <c r="M68" s="22">
        <v>12</v>
      </c>
      <c r="N68" s="5" t="s">
        <v>444</v>
      </c>
      <c r="O68" s="5">
        <v>1985</v>
      </c>
      <c r="P68" s="20" t="s">
        <v>445</v>
      </c>
    </row>
    <row r="69" spans="1:16" x14ac:dyDescent="0.2">
      <c r="A69" s="15">
        <v>234</v>
      </c>
      <c r="B69" s="16" t="s">
        <v>763</v>
      </c>
      <c r="C69" s="23">
        <v>1.93</v>
      </c>
      <c r="D69" s="46" t="s">
        <v>970</v>
      </c>
      <c r="E69" s="23"/>
      <c r="F69" s="18">
        <v>7</v>
      </c>
      <c r="G69" s="19">
        <v>25</v>
      </c>
      <c r="H69" s="20" t="s">
        <v>759</v>
      </c>
      <c r="I69" s="5" t="s">
        <v>548</v>
      </c>
      <c r="J69" s="19" t="s">
        <v>469</v>
      </c>
      <c r="K69" s="19">
        <v>10</v>
      </c>
      <c r="L69" s="19">
        <v>5.0000000000000002E-5</v>
      </c>
      <c r="M69" s="22">
        <v>47</v>
      </c>
      <c r="N69" s="5" t="s">
        <v>760</v>
      </c>
      <c r="O69" s="5">
        <v>2012</v>
      </c>
      <c r="P69" s="20" t="s">
        <v>761</v>
      </c>
    </row>
    <row r="70" spans="1:16" ht="17" x14ac:dyDescent="0.2">
      <c r="A70" s="15">
        <v>308</v>
      </c>
      <c r="B70" s="16" t="s">
        <v>902</v>
      </c>
      <c r="C70" s="23">
        <v>1.67</v>
      </c>
      <c r="D70" s="44" t="s">
        <v>970</v>
      </c>
      <c r="E70" s="23"/>
      <c r="F70" s="18">
        <v>7</v>
      </c>
      <c r="G70" s="19">
        <v>25</v>
      </c>
      <c r="H70" s="20" t="s">
        <v>792</v>
      </c>
      <c r="I70" s="34" t="s">
        <v>548</v>
      </c>
      <c r="J70" s="19" t="s">
        <v>469</v>
      </c>
      <c r="K70" s="19" t="s">
        <v>813</v>
      </c>
      <c r="L70" s="19" t="s">
        <v>894</v>
      </c>
      <c r="M70" s="22">
        <v>76</v>
      </c>
      <c r="N70" s="5" t="s">
        <v>811</v>
      </c>
      <c r="O70" s="5">
        <v>2019</v>
      </c>
      <c r="P70" s="20" t="s">
        <v>895</v>
      </c>
    </row>
    <row r="71" spans="1:16" ht="30" x14ac:dyDescent="0.2">
      <c r="A71" s="15">
        <v>10</v>
      </c>
      <c r="B71" s="16" t="s">
        <v>352</v>
      </c>
      <c r="C71" s="7">
        <v>325</v>
      </c>
      <c r="D71" s="50" t="s">
        <v>1004</v>
      </c>
      <c r="E71" s="7">
        <v>16</v>
      </c>
      <c r="F71" s="18">
        <v>13</v>
      </c>
      <c r="G71" s="19">
        <v>25</v>
      </c>
      <c r="H71" s="20" t="s">
        <v>345</v>
      </c>
      <c r="I71" s="5" t="s">
        <v>325</v>
      </c>
      <c r="J71" s="19" t="s">
        <v>326</v>
      </c>
      <c r="K71" s="19" t="s">
        <v>353</v>
      </c>
      <c r="L71" s="19" t="s">
        <v>354</v>
      </c>
      <c r="M71" s="22">
        <v>2</v>
      </c>
      <c r="N71" s="5" t="s">
        <v>327</v>
      </c>
      <c r="O71" s="5">
        <v>1966</v>
      </c>
      <c r="P71" s="20" t="s">
        <v>343</v>
      </c>
    </row>
    <row r="72" spans="1:16" ht="60" x14ac:dyDescent="0.2">
      <c r="A72" s="15">
        <v>254</v>
      </c>
      <c r="B72" s="16" t="s">
        <v>799</v>
      </c>
      <c r="C72" s="23">
        <v>9</v>
      </c>
      <c r="D72" s="46" t="s">
        <v>974</v>
      </c>
      <c r="E72" s="7">
        <v>4</v>
      </c>
      <c r="F72" s="18">
        <v>7</v>
      </c>
      <c r="G72" s="19">
        <v>25</v>
      </c>
      <c r="H72" s="20" t="s">
        <v>792</v>
      </c>
      <c r="I72" s="5" t="s">
        <v>548</v>
      </c>
      <c r="J72" s="19" t="s">
        <v>469</v>
      </c>
      <c r="K72" s="19" t="s">
        <v>795</v>
      </c>
      <c r="L72" s="19" t="s">
        <v>796</v>
      </c>
      <c r="M72" s="22">
        <v>54</v>
      </c>
      <c r="N72" s="5" t="s">
        <v>678</v>
      </c>
      <c r="O72" s="5">
        <v>2014</v>
      </c>
      <c r="P72" s="20" t="s">
        <v>797</v>
      </c>
    </row>
    <row r="73" spans="1:16" ht="240" x14ac:dyDescent="0.2">
      <c r="A73" s="15">
        <v>279</v>
      </c>
      <c r="B73" s="16" t="s">
        <v>799</v>
      </c>
      <c r="C73" s="23">
        <v>4.5</v>
      </c>
      <c r="D73" s="46" t="s">
        <v>1003</v>
      </c>
      <c r="E73" s="23">
        <v>0.3</v>
      </c>
      <c r="F73" s="18">
        <v>7</v>
      </c>
      <c r="G73" s="19">
        <v>25</v>
      </c>
      <c r="H73" s="20" t="s">
        <v>848</v>
      </c>
      <c r="I73" s="5" t="s">
        <v>548</v>
      </c>
      <c r="J73" s="19" t="s">
        <v>469</v>
      </c>
      <c r="K73" s="19" t="s">
        <v>852</v>
      </c>
      <c r="L73" s="19" t="s">
        <v>849</v>
      </c>
      <c r="M73" s="22">
        <v>67</v>
      </c>
      <c r="N73" s="5" t="s">
        <v>850</v>
      </c>
      <c r="O73" s="5">
        <v>2018</v>
      </c>
      <c r="P73" s="20" t="s">
        <v>851</v>
      </c>
    </row>
    <row r="74" spans="1:16" x14ac:dyDescent="0.2">
      <c r="A74" s="15">
        <v>305</v>
      </c>
      <c r="B74" s="16" t="s">
        <v>899</v>
      </c>
      <c r="C74" s="23">
        <v>1.1299999999999999</v>
      </c>
      <c r="D74" s="46" t="s">
        <v>970</v>
      </c>
      <c r="E74" s="23"/>
      <c r="F74" s="18">
        <v>7</v>
      </c>
      <c r="G74" s="19">
        <v>25</v>
      </c>
      <c r="H74" s="20" t="s">
        <v>792</v>
      </c>
      <c r="I74" s="5" t="s">
        <v>548</v>
      </c>
      <c r="J74" s="19" t="s">
        <v>469</v>
      </c>
      <c r="K74" s="19" t="s">
        <v>813</v>
      </c>
      <c r="L74" s="19" t="s">
        <v>894</v>
      </c>
      <c r="M74" s="22">
        <v>76</v>
      </c>
      <c r="N74" s="5" t="s">
        <v>811</v>
      </c>
      <c r="O74" s="5">
        <v>2019</v>
      </c>
      <c r="P74" s="20" t="s">
        <v>895</v>
      </c>
    </row>
    <row r="75" spans="1:16" x14ac:dyDescent="0.2">
      <c r="A75" s="15">
        <v>17</v>
      </c>
      <c r="B75" s="16" t="s">
        <v>371</v>
      </c>
      <c r="C75" s="7">
        <v>302</v>
      </c>
      <c r="D75" s="50" t="s">
        <v>1005</v>
      </c>
      <c r="E75" s="7">
        <v>15</v>
      </c>
      <c r="F75" s="18">
        <v>13</v>
      </c>
      <c r="G75" s="19">
        <v>0.5</v>
      </c>
      <c r="H75" s="20" t="s">
        <v>345</v>
      </c>
      <c r="I75" s="5" t="s">
        <v>325</v>
      </c>
      <c r="J75" s="19" t="s">
        <v>326</v>
      </c>
      <c r="K75" s="19" t="s">
        <v>368</v>
      </c>
      <c r="L75" s="19" t="s">
        <v>369</v>
      </c>
      <c r="M75" s="22">
        <v>2</v>
      </c>
      <c r="N75" s="5" t="s">
        <v>327</v>
      </c>
      <c r="O75" s="5">
        <v>1966</v>
      </c>
      <c r="P75" s="20" t="s">
        <v>343</v>
      </c>
    </row>
    <row r="76" spans="1:16" x14ac:dyDescent="0.2">
      <c r="A76" s="15">
        <v>60</v>
      </c>
      <c r="B76" s="16" t="s">
        <v>371</v>
      </c>
      <c r="C76" s="7">
        <v>678</v>
      </c>
      <c r="D76" s="50" t="s">
        <v>999</v>
      </c>
      <c r="E76" s="7">
        <v>16</v>
      </c>
      <c r="F76" s="18">
        <v>11.3</v>
      </c>
      <c r="G76" s="19">
        <v>25</v>
      </c>
      <c r="H76" s="20" t="s">
        <v>443</v>
      </c>
      <c r="I76" s="5" t="s">
        <v>325</v>
      </c>
      <c r="J76" s="19" t="s">
        <v>326</v>
      </c>
      <c r="K76" s="19">
        <v>20</v>
      </c>
      <c r="L76" s="19">
        <v>7.6E-3</v>
      </c>
      <c r="M76" s="22">
        <v>12</v>
      </c>
      <c r="N76" s="5" t="s">
        <v>444</v>
      </c>
      <c r="O76" s="5">
        <v>1985</v>
      </c>
      <c r="P76" s="20" t="s">
        <v>445</v>
      </c>
    </row>
    <row r="77" spans="1:16" x14ac:dyDescent="0.2">
      <c r="A77" s="15">
        <v>106</v>
      </c>
      <c r="B77" s="16" t="s">
        <v>542</v>
      </c>
      <c r="C77" s="17">
        <f>0.0451/60/(0.002/158)</f>
        <v>59.381666666666661</v>
      </c>
      <c r="D77" s="46" t="s">
        <v>970</v>
      </c>
      <c r="E77" s="17"/>
      <c r="F77" s="18">
        <v>7.2</v>
      </c>
      <c r="G77" s="19">
        <v>16</v>
      </c>
      <c r="H77" s="20" t="s">
        <v>538</v>
      </c>
      <c r="I77" s="5" t="s">
        <v>539</v>
      </c>
      <c r="J77" s="19" t="s">
        <v>469</v>
      </c>
      <c r="K77" s="7">
        <f>13/(100/128.5)</f>
        <v>16.704999999999998</v>
      </c>
      <c r="L77" s="19">
        <v>1.2999999999999999E-5</v>
      </c>
      <c r="M77" s="22">
        <v>25</v>
      </c>
      <c r="N77" s="5" t="s">
        <v>540</v>
      </c>
      <c r="O77" s="5">
        <v>2003</v>
      </c>
      <c r="P77" s="20" t="s">
        <v>541</v>
      </c>
    </row>
    <row r="78" spans="1:16" ht="75" x14ac:dyDescent="0.2">
      <c r="A78" s="15">
        <v>224</v>
      </c>
      <c r="B78" s="16" t="s">
        <v>542</v>
      </c>
      <c r="C78" s="23">
        <v>4.2</v>
      </c>
      <c r="D78" s="46" t="s">
        <v>994</v>
      </c>
      <c r="E78" s="23">
        <f>0.022/6.26*C78</f>
        <v>1.476038338658147E-2</v>
      </c>
      <c r="F78" s="18">
        <v>5.3</v>
      </c>
      <c r="G78" s="19">
        <v>22</v>
      </c>
      <c r="H78" s="20" t="s">
        <v>756</v>
      </c>
      <c r="I78" s="5" t="s">
        <v>325</v>
      </c>
      <c r="J78" s="19" t="s">
        <v>469</v>
      </c>
      <c r="K78" s="19">
        <v>9.4</v>
      </c>
      <c r="L78" s="19">
        <v>1.5E-3</v>
      </c>
      <c r="M78" s="22">
        <v>46</v>
      </c>
      <c r="N78" s="5" t="s">
        <v>757</v>
      </c>
      <c r="O78" s="5">
        <v>2011</v>
      </c>
      <c r="P78" s="20" t="s">
        <v>758</v>
      </c>
    </row>
    <row r="79" spans="1:16" x14ac:dyDescent="0.2">
      <c r="A79" s="15">
        <v>230</v>
      </c>
      <c r="B79" s="16" t="s">
        <v>542</v>
      </c>
      <c r="C79" s="23">
        <v>8.4</v>
      </c>
      <c r="D79" s="46" t="s">
        <v>970</v>
      </c>
      <c r="E79" s="23"/>
      <c r="F79" s="18">
        <v>7</v>
      </c>
      <c r="G79" s="19">
        <v>25</v>
      </c>
      <c r="H79" s="20" t="s">
        <v>759</v>
      </c>
      <c r="I79" s="5" t="s">
        <v>548</v>
      </c>
      <c r="J79" s="19" t="s">
        <v>469</v>
      </c>
      <c r="K79" s="19">
        <v>10</v>
      </c>
      <c r="L79" s="19">
        <v>5.0000000000000002E-5</v>
      </c>
      <c r="M79" s="22">
        <v>47</v>
      </c>
      <c r="N79" s="5" t="s">
        <v>760</v>
      </c>
      <c r="O79" s="5">
        <v>2012</v>
      </c>
      <c r="P79" s="20" t="s">
        <v>761</v>
      </c>
    </row>
    <row r="80" spans="1:16" ht="75" x14ac:dyDescent="0.2">
      <c r="A80" s="15">
        <v>321</v>
      </c>
      <c r="B80" s="16" t="s">
        <v>938</v>
      </c>
      <c r="C80" s="19">
        <v>8.6300000000000008</v>
      </c>
      <c r="D80" s="51" t="s">
        <v>996</v>
      </c>
      <c r="E80" s="19">
        <v>0.57999999999999996</v>
      </c>
      <c r="F80" s="18">
        <v>5.3</v>
      </c>
      <c r="G80" s="7">
        <v>23</v>
      </c>
      <c r="H80" s="20" t="s">
        <v>489</v>
      </c>
      <c r="I80" s="34" t="s">
        <v>325</v>
      </c>
      <c r="J80" s="19" t="s">
        <v>326</v>
      </c>
      <c r="K80" s="19" t="s">
        <v>939</v>
      </c>
      <c r="L80" s="19" t="s">
        <v>940</v>
      </c>
      <c r="M80" s="22">
        <v>83</v>
      </c>
      <c r="N80" s="5" t="s">
        <v>928</v>
      </c>
      <c r="O80" s="5">
        <v>2022</v>
      </c>
      <c r="P80" s="20" t="s">
        <v>929</v>
      </c>
    </row>
    <row r="81" spans="1:16" ht="240" x14ac:dyDescent="0.2">
      <c r="A81" s="15">
        <v>281</v>
      </c>
      <c r="B81" s="16" t="s">
        <v>853</v>
      </c>
      <c r="C81" s="23">
        <v>0.48</v>
      </c>
      <c r="D81" s="46" t="s">
        <v>1003</v>
      </c>
      <c r="E81" s="23">
        <v>3.2000000000000001E-2</v>
      </c>
      <c r="F81" s="18">
        <v>7</v>
      </c>
      <c r="G81" s="19">
        <v>25</v>
      </c>
      <c r="H81" s="20" t="s">
        <v>848</v>
      </c>
      <c r="I81" s="5" t="s">
        <v>548</v>
      </c>
      <c r="J81" s="19" t="s">
        <v>469</v>
      </c>
      <c r="K81" s="19" t="s">
        <v>852</v>
      </c>
      <c r="L81" s="19" t="s">
        <v>849</v>
      </c>
      <c r="M81" s="22">
        <v>67</v>
      </c>
      <c r="N81" s="5" t="s">
        <v>850</v>
      </c>
      <c r="O81" s="5">
        <v>2018</v>
      </c>
      <c r="P81" s="20" t="s">
        <v>851</v>
      </c>
    </row>
    <row r="82" spans="1:16" x14ac:dyDescent="0.2">
      <c r="A82" s="15">
        <v>16</v>
      </c>
      <c r="B82" s="16" t="s">
        <v>370</v>
      </c>
      <c r="C82" s="7">
        <v>272</v>
      </c>
      <c r="D82" s="50" t="s">
        <v>1006</v>
      </c>
      <c r="E82" s="7">
        <v>14</v>
      </c>
      <c r="F82" s="18">
        <v>6.5</v>
      </c>
      <c r="G82" s="19">
        <v>0.5</v>
      </c>
      <c r="H82" s="20" t="s">
        <v>340</v>
      </c>
      <c r="I82" s="5" t="s">
        <v>325</v>
      </c>
      <c r="J82" s="19" t="s">
        <v>326</v>
      </c>
      <c r="K82" s="19" t="s">
        <v>368</v>
      </c>
      <c r="L82" s="19" t="s">
        <v>369</v>
      </c>
      <c r="M82" s="22">
        <v>2</v>
      </c>
      <c r="N82" s="5" t="s">
        <v>327</v>
      </c>
      <c r="O82" s="5">
        <v>1966</v>
      </c>
      <c r="P82" s="20" t="s">
        <v>343</v>
      </c>
    </row>
    <row r="83" spans="1:16" x14ac:dyDescent="0.2">
      <c r="A83" s="15">
        <v>302</v>
      </c>
      <c r="B83" s="16" t="s">
        <v>896</v>
      </c>
      <c r="C83" s="7">
        <v>305.27999999999997</v>
      </c>
      <c r="D83" s="46" t="s">
        <v>970</v>
      </c>
      <c r="E83" s="7"/>
      <c r="F83" s="18">
        <v>7</v>
      </c>
      <c r="G83" s="19">
        <v>25</v>
      </c>
      <c r="H83" s="20" t="s">
        <v>792</v>
      </c>
      <c r="I83" s="5" t="s">
        <v>548</v>
      </c>
      <c r="J83" s="19" t="s">
        <v>469</v>
      </c>
      <c r="K83" s="19" t="s">
        <v>813</v>
      </c>
      <c r="L83" s="19" t="s">
        <v>894</v>
      </c>
      <c r="M83" s="22">
        <v>76</v>
      </c>
      <c r="N83" s="5" t="s">
        <v>811</v>
      </c>
      <c r="O83" s="5">
        <v>2019</v>
      </c>
      <c r="P83" s="20" t="s">
        <v>895</v>
      </c>
    </row>
    <row r="84" spans="1:16" x14ac:dyDescent="0.2">
      <c r="A84" s="15">
        <v>15</v>
      </c>
      <c r="B84" s="16" t="s">
        <v>367</v>
      </c>
      <c r="C84" s="7">
        <v>260</v>
      </c>
      <c r="D84" s="50" t="s">
        <v>1006</v>
      </c>
      <c r="E84" s="7">
        <v>14</v>
      </c>
      <c r="F84" s="18">
        <v>6.5</v>
      </c>
      <c r="G84" s="19">
        <v>0.5</v>
      </c>
      <c r="H84" s="20" t="s">
        <v>340</v>
      </c>
      <c r="I84" s="5" t="s">
        <v>325</v>
      </c>
      <c r="J84" s="19" t="s">
        <v>326</v>
      </c>
      <c r="K84" s="19" t="s">
        <v>368</v>
      </c>
      <c r="L84" s="19" t="s">
        <v>369</v>
      </c>
      <c r="M84" s="22">
        <v>2</v>
      </c>
      <c r="N84" s="5" t="s">
        <v>327</v>
      </c>
      <c r="O84" s="5">
        <v>1966</v>
      </c>
      <c r="P84" s="20" t="s">
        <v>343</v>
      </c>
    </row>
    <row r="85" spans="1:16" x14ac:dyDescent="0.2">
      <c r="A85" s="15">
        <v>57</v>
      </c>
      <c r="B85" s="16" t="s">
        <v>367</v>
      </c>
      <c r="C85" s="7">
        <v>699</v>
      </c>
      <c r="D85" s="50" t="s">
        <v>999</v>
      </c>
      <c r="E85" s="7">
        <v>11</v>
      </c>
      <c r="F85" s="18">
        <v>11.3</v>
      </c>
      <c r="G85" s="19">
        <v>25</v>
      </c>
      <c r="H85" s="20" t="s">
        <v>443</v>
      </c>
      <c r="I85" s="5" t="s">
        <v>325</v>
      </c>
      <c r="J85" s="19" t="s">
        <v>326</v>
      </c>
      <c r="K85" s="19">
        <v>10</v>
      </c>
      <c r="L85" s="19">
        <v>3.8E-3</v>
      </c>
      <c r="M85" s="22">
        <v>12</v>
      </c>
      <c r="N85" s="5" t="s">
        <v>444</v>
      </c>
      <c r="O85" s="5">
        <v>1985</v>
      </c>
      <c r="P85" s="20" t="s">
        <v>445</v>
      </c>
    </row>
    <row r="86" spans="1:16" ht="60" x14ac:dyDescent="0.2">
      <c r="A86" s="15">
        <v>150</v>
      </c>
      <c r="B86" s="16" t="s">
        <v>643</v>
      </c>
      <c r="C86" s="7">
        <v>237</v>
      </c>
      <c r="D86" s="50" t="s">
        <v>979</v>
      </c>
      <c r="E86" s="7">
        <v>3</v>
      </c>
      <c r="F86" s="30">
        <v>7</v>
      </c>
      <c r="G86" s="7">
        <v>25</v>
      </c>
      <c r="H86" s="20" t="s">
        <v>432</v>
      </c>
      <c r="I86" s="5" t="s">
        <v>325</v>
      </c>
      <c r="J86" s="19" t="s">
        <v>326</v>
      </c>
      <c r="K86" s="19" t="s">
        <v>644</v>
      </c>
      <c r="L86" s="19" t="s">
        <v>645</v>
      </c>
      <c r="M86" s="22">
        <v>31</v>
      </c>
      <c r="N86" s="5" t="s">
        <v>611</v>
      </c>
      <c r="O86" s="5">
        <v>2006</v>
      </c>
      <c r="P86" s="20" t="s">
        <v>612</v>
      </c>
    </row>
    <row r="87" spans="1:16" ht="240" x14ac:dyDescent="0.2">
      <c r="A87" s="15">
        <v>284</v>
      </c>
      <c r="B87" s="16" t="s">
        <v>643</v>
      </c>
      <c r="C87" s="17">
        <v>82.5</v>
      </c>
      <c r="D87" s="48" t="s">
        <v>1003</v>
      </c>
      <c r="E87" s="17">
        <v>5.2</v>
      </c>
      <c r="F87" s="18">
        <v>7</v>
      </c>
      <c r="G87" s="19">
        <v>25</v>
      </c>
      <c r="H87" s="20" t="s">
        <v>848</v>
      </c>
      <c r="I87" s="5" t="s">
        <v>548</v>
      </c>
      <c r="J87" s="19" t="s">
        <v>469</v>
      </c>
      <c r="K87" s="19" t="s">
        <v>852</v>
      </c>
      <c r="L87" s="19" t="s">
        <v>849</v>
      </c>
      <c r="M87" s="22">
        <v>67</v>
      </c>
      <c r="N87" s="5" t="s">
        <v>850</v>
      </c>
      <c r="O87" s="5">
        <v>2018</v>
      </c>
      <c r="P87" s="20" t="s">
        <v>851</v>
      </c>
    </row>
    <row r="88" spans="1:16" x14ac:dyDescent="0.2">
      <c r="A88" s="15">
        <v>240</v>
      </c>
      <c r="B88" s="16" t="s">
        <v>771</v>
      </c>
      <c r="C88" s="17">
        <v>63.9</v>
      </c>
      <c r="D88" s="46" t="s">
        <v>970</v>
      </c>
      <c r="E88" s="17"/>
      <c r="F88" s="18">
        <v>7</v>
      </c>
      <c r="G88" s="19">
        <v>25</v>
      </c>
      <c r="H88" s="20" t="s">
        <v>742</v>
      </c>
      <c r="I88" s="5" t="s">
        <v>765</v>
      </c>
      <c r="J88" s="19" t="s">
        <v>469</v>
      </c>
      <c r="K88" s="19" t="s">
        <v>485</v>
      </c>
      <c r="L88" s="19" t="s">
        <v>766</v>
      </c>
      <c r="M88" s="22">
        <v>48</v>
      </c>
      <c r="N88" s="5" t="s">
        <v>678</v>
      </c>
      <c r="O88" s="5">
        <v>2012</v>
      </c>
      <c r="P88" s="20" t="s">
        <v>767</v>
      </c>
    </row>
    <row r="89" spans="1:16" ht="240" x14ac:dyDescent="0.2">
      <c r="A89" s="15">
        <v>287</v>
      </c>
      <c r="B89" s="16" t="s">
        <v>771</v>
      </c>
      <c r="C89" s="17">
        <v>74</v>
      </c>
      <c r="D89" s="48" t="s">
        <v>1003</v>
      </c>
      <c r="E89" s="17">
        <v>5.0999999999999996</v>
      </c>
      <c r="F89" s="18">
        <v>7</v>
      </c>
      <c r="G89" s="19">
        <v>25</v>
      </c>
      <c r="H89" s="20" t="s">
        <v>848</v>
      </c>
      <c r="I89" s="5" t="s">
        <v>548</v>
      </c>
      <c r="J89" s="19" t="s">
        <v>469</v>
      </c>
      <c r="K89" s="19" t="s">
        <v>852</v>
      </c>
      <c r="L89" s="19" t="s">
        <v>849</v>
      </c>
      <c r="M89" s="22">
        <v>67</v>
      </c>
      <c r="N89" s="5" t="s">
        <v>850</v>
      </c>
      <c r="O89" s="5">
        <v>2018</v>
      </c>
      <c r="P89" s="20" t="s">
        <v>851</v>
      </c>
    </row>
    <row r="90" spans="1:16" x14ac:dyDescent="0.2">
      <c r="A90" s="15">
        <v>39</v>
      </c>
      <c r="B90" s="16" t="s">
        <v>415</v>
      </c>
      <c r="C90" s="26">
        <f>0.0116</f>
        <v>1.1599999999999999E-2</v>
      </c>
      <c r="D90" s="46" t="s">
        <v>970</v>
      </c>
      <c r="E90" s="26"/>
      <c r="F90" s="18">
        <v>6.8</v>
      </c>
      <c r="G90" s="19">
        <v>35</v>
      </c>
      <c r="H90" s="20" t="s">
        <v>410</v>
      </c>
      <c r="I90" s="5" t="s">
        <v>377</v>
      </c>
      <c r="J90" s="19" t="s">
        <v>326</v>
      </c>
      <c r="K90" s="7">
        <f>L90/0.0002</f>
        <v>5.47</v>
      </c>
      <c r="L90" s="19">
        <v>1.0939999999999999E-3</v>
      </c>
      <c r="M90" s="22">
        <v>8</v>
      </c>
      <c r="N90" s="5" t="s">
        <v>411</v>
      </c>
      <c r="O90" s="5">
        <v>1976</v>
      </c>
      <c r="P90" s="20" t="s">
        <v>412</v>
      </c>
    </row>
    <row r="91" spans="1:16" x14ac:dyDescent="0.2">
      <c r="A91" s="15">
        <v>65</v>
      </c>
      <c r="B91" s="16" t="s">
        <v>452</v>
      </c>
      <c r="C91" s="19">
        <v>1190</v>
      </c>
      <c r="D91" s="51" t="s">
        <v>999</v>
      </c>
      <c r="E91" s="19">
        <v>20</v>
      </c>
      <c r="F91" s="18">
        <v>11.3</v>
      </c>
      <c r="G91" s="19">
        <v>25</v>
      </c>
      <c r="H91" s="20" t="s">
        <v>443</v>
      </c>
      <c r="I91" s="5" t="s">
        <v>325</v>
      </c>
      <c r="J91" s="19" t="s">
        <v>326</v>
      </c>
      <c r="K91" s="19">
        <v>20</v>
      </c>
      <c r="L91" s="19">
        <v>7.6E-3</v>
      </c>
      <c r="M91" s="22">
        <v>12</v>
      </c>
      <c r="N91" s="5" t="s">
        <v>444</v>
      </c>
      <c r="O91" s="5">
        <v>1985</v>
      </c>
      <c r="P91" s="20" t="s">
        <v>445</v>
      </c>
    </row>
    <row r="92" spans="1:16" x14ac:dyDescent="0.2">
      <c r="A92" s="15">
        <v>36</v>
      </c>
      <c r="B92" s="16" t="s">
        <v>409</v>
      </c>
      <c r="C92" s="26">
        <f>0.0978</f>
        <v>9.7799999999999998E-2</v>
      </c>
      <c r="D92" s="46" t="s">
        <v>970</v>
      </c>
      <c r="E92" s="26"/>
      <c r="F92" s="18">
        <v>6.8</v>
      </c>
      <c r="G92" s="19">
        <v>35</v>
      </c>
      <c r="H92" s="20" t="s">
        <v>410</v>
      </c>
      <c r="I92" s="5" t="s">
        <v>377</v>
      </c>
      <c r="J92" s="19" t="s">
        <v>326</v>
      </c>
      <c r="K92" s="7">
        <f>L92/0.0002</f>
        <v>5.2549999999999999</v>
      </c>
      <c r="L92" s="21">
        <v>1.0510000000000001E-3</v>
      </c>
      <c r="M92" s="22">
        <v>8</v>
      </c>
      <c r="N92" s="5" t="s">
        <v>411</v>
      </c>
      <c r="O92" s="5">
        <v>1976</v>
      </c>
      <c r="P92" s="20" t="s">
        <v>412</v>
      </c>
    </row>
    <row r="93" spans="1:16" ht="75" x14ac:dyDescent="0.2">
      <c r="A93" s="15">
        <v>318</v>
      </c>
      <c r="B93" s="16" t="s">
        <v>409</v>
      </c>
      <c r="C93" s="19">
        <v>9.8000000000000004E-2</v>
      </c>
      <c r="D93" s="51" t="s">
        <v>996</v>
      </c>
      <c r="E93" s="19">
        <v>0.03</v>
      </c>
      <c r="F93" s="18">
        <v>5.3</v>
      </c>
      <c r="G93" s="7">
        <v>23</v>
      </c>
      <c r="H93" s="20" t="s">
        <v>489</v>
      </c>
      <c r="I93" s="34" t="s">
        <v>325</v>
      </c>
      <c r="J93" s="19" t="s">
        <v>326</v>
      </c>
      <c r="K93" s="19" t="s">
        <v>930</v>
      </c>
      <c r="L93" s="19" t="s">
        <v>931</v>
      </c>
      <c r="M93" s="22">
        <v>83</v>
      </c>
      <c r="N93" s="5" t="s">
        <v>928</v>
      </c>
      <c r="O93" s="5">
        <v>2022</v>
      </c>
      <c r="P93" s="20" t="s">
        <v>929</v>
      </c>
    </row>
    <row r="94" spans="1:16" x14ac:dyDescent="0.2">
      <c r="A94" s="15">
        <v>268</v>
      </c>
      <c r="B94" s="16" t="s">
        <v>836</v>
      </c>
      <c r="C94" s="24">
        <f>0.028/0.05/60/60</f>
        <v>1.5555555555555554E-4</v>
      </c>
      <c r="D94" s="47" t="s">
        <v>1015</v>
      </c>
      <c r="E94" s="24">
        <f>0.002/0.028*C94</f>
        <v>1.1111111111111108E-5</v>
      </c>
      <c r="F94" s="18">
        <v>7.2</v>
      </c>
      <c r="G94" s="19" t="s">
        <v>476</v>
      </c>
      <c r="H94" s="20" t="s">
        <v>837</v>
      </c>
      <c r="I94" s="5" t="s">
        <v>325</v>
      </c>
      <c r="J94" s="19" t="s">
        <v>469</v>
      </c>
      <c r="K94" s="19">
        <v>38.5</v>
      </c>
      <c r="L94" s="19">
        <v>0.05</v>
      </c>
      <c r="M94" s="22">
        <v>64</v>
      </c>
      <c r="N94" s="5" t="s">
        <v>838</v>
      </c>
      <c r="O94" s="5">
        <v>2017</v>
      </c>
      <c r="P94" s="20" t="s">
        <v>839</v>
      </c>
    </row>
    <row r="95" spans="1:16" x14ac:dyDescent="0.2">
      <c r="A95" s="15">
        <v>13</v>
      </c>
      <c r="B95" s="16" t="s">
        <v>361</v>
      </c>
      <c r="C95" s="7">
        <v>167</v>
      </c>
      <c r="D95" s="50" t="s">
        <v>1007</v>
      </c>
      <c r="E95" s="7">
        <v>8</v>
      </c>
      <c r="F95" s="18">
        <v>13</v>
      </c>
      <c r="G95" s="19">
        <v>25</v>
      </c>
      <c r="H95" s="20" t="s">
        <v>345</v>
      </c>
      <c r="I95" s="5" t="s">
        <v>325</v>
      </c>
      <c r="J95" s="19" t="s">
        <v>326</v>
      </c>
      <c r="K95" s="19" t="s">
        <v>362</v>
      </c>
      <c r="L95" s="19" t="s">
        <v>363</v>
      </c>
      <c r="M95" s="22">
        <v>2</v>
      </c>
      <c r="N95" s="5" t="s">
        <v>327</v>
      </c>
      <c r="O95" s="5">
        <v>1966</v>
      </c>
      <c r="P95" s="20" t="s">
        <v>343</v>
      </c>
    </row>
    <row r="96" spans="1:16" x14ac:dyDescent="0.2">
      <c r="A96" s="15">
        <v>55</v>
      </c>
      <c r="B96" s="16" t="s">
        <v>441</v>
      </c>
      <c r="C96" s="23">
        <v>2.59</v>
      </c>
      <c r="D96" s="46" t="s">
        <v>970</v>
      </c>
      <c r="E96" s="23"/>
      <c r="F96" s="18">
        <v>6.7</v>
      </c>
      <c r="G96" s="19">
        <v>25</v>
      </c>
      <c r="H96" s="20" t="s">
        <v>432</v>
      </c>
      <c r="I96" s="5" t="s">
        <v>325</v>
      </c>
      <c r="J96" s="19" t="s">
        <v>326</v>
      </c>
      <c r="K96" s="19">
        <v>10</v>
      </c>
      <c r="L96" s="19">
        <v>4.0000000000000001E-3</v>
      </c>
      <c r="M96" s="22">
        <v>11</v>
      </c>
      <c r="N96" s="5" t="s">
        <v>433</v>
      </c>
      <c r="O96" s="5">
        <v>1981</v>
      </c>
      <c r="P96" s="20" t="s">
        <v>434</v>
      </c>
    </row>
    <row r="97" spans="1:16" x14ac:dyDescent="0.2">
      <c r="A97" s="15">
        <v>53</v>
      </c>
      <c r="B97" s="16" t="s">
        <v>439</v>
      </c>
      <c r="C97" s="17">
        <v>13.7</v>
      </c>
      <c r="D97" s="46" t="s">
        <v>970</v>
      </c>
      <c r="E97" s="17"/>
      <c r="F97" s="18">
        <v>6.7</v>
      </c>
      <c r="G97" s="19">
        <v>25</v>
      </c>
      <c r="H97" s="20" t="s">
        <v>432</v>
      </c>
      <c r="I97" s="5" t="s">
        <v>325</v>
      </c>
      <c r="J97" s="19" t="s">
        <v>326</v>
      </c>
      <c r="K97" s="19">
        <v>10</v>
      </c>
      <c r="L97" s="19">
        <v>4.0000000000000001E-3</v>
      </c>
      <c r="M97" s="22">
        <v>11</v>
      </c>
      <c r="N97" s="5" t="s">
        <v>433</v>
      </c>
      <c r="O97" s="5">
        <v>1981</v>
      </c>
      <c r="P97" s="20" t="s">
        <v>434</v>
      </c>
    </row>
    <row r="98" spans="1:16" x14ac:dyDescent="0.2">
      <c r="A98" s="15">
        <v>52</v>
      </c>
      <c r="B98" s="16" t="s">
        <v>438</v>
      </c>
      <c r="C98" s="17">
        <v>11</v>
      </c>
      <c r="D98" s="46" t="s">
        <v>970</v>
      </c>
      <c r="E98" s="17"/>
      <c r="F98" s="18">
        <v>6.7</v>
      </c>
      <c r="G98" s="19">
        <v>25</v>
      </c>
      <c r="H98" s="20" t="s">
        <v>432</v>
      </c>
      <c r="I98" s="5" t="s">
        <v>325</v>
      </c>
      <c r="J98" s="19" t="s">
        <v>326</v>
      </c>
      <c r="K98" s="19">
        <v>10</v>
      </c>
      <c r="L98" s="19">
        <v>4.0000000000000001E-3</v>
      </c>
      <c r="M98" s="22">
        <v>11</v>
      </c>
      <c r="N98" s="5" t="s">
        <v>433</v>
      </c>
      <c r="O98" s="5">
        <v>1981</v>
      </c>
      <c r="P98" s="20" t="s">
        <v>434</v>
      </c>
    </row>
    <row r="99" spans="1:16" x14ac:dyDescent="0.2">
      <c r="A99" s="15">
        <v>51</v>
      </c>
      <c r="B99" s="16" t="s">
        <v>437</v>
      </c>
      <c r="C99" s="17">
        <v>70.599999999999994</v>
      </c>
      <c r="D99" s="46" t="s">
        <v>970</v>
      </c>
      <c r="E99" s="17"/>
      <c r="F99" s="18">
        <v>6.7</v>
      </c>
      <c r="G99" s="19">
        <v>25</v>
      </c>
      <c r="H99" s="20" t="s">
        <v>432</v>
      </c>
      <c r="I99" s="5" t="s">
        <v>325</v>
      </c>
      <c r="J99" s="19" t="s">
        <v>326</v>
      </c>
      <c r="K99" s="19">
        <v>10</v>
      </c>
      <c r="L99" s="19">
        <v>4.0000000000000001E-3</v>
      </c>
      <c r="M99" s="22">
        <v>11</v>
      </c>
      <c r="N99" s="5" t="s">
        <v>433</v>
      </c>
      <c r="O99" s="5">
        <v>1981</v>
      </c>
      <c r="P99" s="20" t="s">
        <v>434</v>
      </c>
    </row>
    <row r="100" spans="1:16" x14ac:dyDescent="0.2">
      <c r="A100" s="15">
        <v>54</v>
      </c>
      <c r="B100" s="16" t="s">
        <v>440</v>
      </c>
      <c r="C100" s="17">
        <v>16.100000000000001</v>
      </c>
      <c r="D100" s="46" t="s">
        <v>970</v>
      </c>
      <c r="E100" s="17"/>
      <c r="F100" s="18">
        <v>6.7</v>
      </c>
      <c r="G100" s="19">
        <v>25</v>
      </c>
      <c r="H100" s="20" t="s">
        <v>432</v>
      </c>
      <c r="I100" s="5" t="s">
        <v>325</v>
      </c>
      <c r="J100" s="19" t="s">
        <v>326</v>
      </c>
      <c r="K100" s="19">
        <v>10</v>
      </c>
      <c r="L100" s="19">
        <v>4.0000000000000001E-3</v>
      </c>
      <c r="M100" s="22">
        <v>11</v>
      </c>
      <c r="N100" s="5" t="s">
        <v>433</v>
      </c>
      <c r="O100" s="5">
        <v>1981</v>
      </c>
      <c r="P100" s="20" t="s">
        <v>434</v>
      </c>
    </row>
    <row r="101" spans="1:16" x14ac:dyDescent="0.2">
      <c r="A101" s="15">
        <v>49</v>
      </c>
      <c r="B101" s="16" t="s">
        <v>435</v>
      </c>
      <c r="C101" s="17">
        <v>16.100000000000001</v>
      </c>
      <c r="D101" s="46" t="s">
        <v>970</v>
      </c>
      <c r="E101" s="17"/>
      <c r="F101" s="18">
        <v>6.7</v>
      </c>
      <c r="G101" s="19">
        <v>25</v>
      </c>
      <c r="H101" s="20" t="s">
        <v>432</v>
      </c>
      <c r="I101" s="5" t="s">
        <v>325</v>
      </c>
      <c r="J101" s="19" t="s">
        <v>326</v>
      </c>
      <c r="K101" s="19">
        <v>10</v>
      </c>
      <c r="L101" s="19">
        <v>4.0000000000000001E-3</v>
      </c>
      <c r="M101" s="22">
        <v>11</v>
      </c>
      <c r="N101" s="5" t="s">
        <v>433</v>
      </c>
      <c r="O101" s="5">
        <v>1981</v>
      </c>
      <c r="P101" s="20" t="s">
        <v>434</v>
      </c>
    </row>
    <row r="102" spans="1:16" x14ac:dyDescent="0.2">
      <c r="A102" s="15">
        <v>56</v>
      </c>
      <c r="B102" s="16" t="s">
        <v>442</v>
      </c>
      <c r="C102" s="23">
        <v>2.62</v>
      </c>
      <c r="D102" s="46" t="s">
        <v>970</v>
      </c>
      <c r="E102" s="23"/>
      <c r="F102" s="18">
        <v>6.7</v>
      </c>
      <c r="G102" s="19">
        <v>25</v>
      </c>
      <c r="H102" s="20" t="s">
        <v>432</v>
      </c>
      <c r="I102" s="5" t="s">
        <v>325</v>
      </c>
      <c r="J102" s="19" t="s">
        <v>326</v>
      </c>
      <c r="K102" s="19">
        <v>10</v>
      </c>
      <c r="L102" s="19">
        <v>4.0000000000000001E-3</v>
      </c>
      <c r="M102" s="22">
        <v>11</v>
      </c>
      <c r="N102" s="5" t="s">
        <v>433</v>
      </c>
      <c r="O102" s="5">
        <v>1981</v>
      </c>
      <c r="P102" s="20" t="s">
        <v>434</v>
      </c>
    </row>
    <row r="103" spans="1:16" x14ac:dyDescent="0.2">
      <c r="A103" s="15">
        <v>241</v>
      </c>
      <c r="B103" s="16" t="s">
        <v>772</v>
      </c>
      <c r="C103" s="17">
        <v>122.2</v>
      </c>
      <c r="D103" s="46" t="s">
        <v>970</v>
      </c>
      <c r="E103" s="17"/>
      <c r="F103" s="18">
        <v>7</v>
      </c>
      <c r="G103" s="19">
        <v>25</v>
      </c>
      <c r="H103" s="20" t="s">
        <v>742</v>
      </c>
      <c r="I103" s="5" t="s">
        <v>765</v>
      </c>
      <c r="J103" s="19" t="s">
        <v>469</v>
      </c>
      <c r="K103" s="19" t="s">
        <v>485</v>
      </c>
      <c r="L103" s="19" t="s">
        <v>766</v>
      </c>
      <c r="M103" s="22">
        <v>48</v>
      </c>
      <c r="N103" s="5" t="s">
        <v>678</v>
      </c>
      <c r="O103" s="5">
        <v>2012</v>
      </c>
      <c r="P103" s="20" t="s">
        <v>767</v>
      </c>
    </row>
    <row r="104" spans="1:16" x14ac:dyDescent="0.2">
      <c r="A104" s="15">
        <v>50</v>
      </c>
      <c r="B104" s="16" t="s">
        <v>436</v>
      </c>
      <c r="C104" s="26">
        <v>8.3000000000000004E-2</v>
      </c>
      <c r="D104" s="46" t="s">
        <v>970</v>
      </c>
      <c r="E104" s="26"/>
      <c r="F104" s="18">
        <v>6.7</v>
      </c>
      <c r="G104" s="19">
        <v>25</v>
      </c>
      <c r="H104" s="20" t="s">
        <v>432</v>
      </c>
      <c r="I104" s="5" t="s">
        <v>325</v>
      </c>
      <c r="J104" s="19" t="s">
        <v>326</v>
      </c>
      <c r="K104" s="19">
        <v>10</v>
      </c>
      <c r="L104" s="19">
        <v>4.0000000000000001E-3</v>
      </c>
      <c r="M104" s="22">
        <v>11</v>
      </c>
      <c r="N104" s="5" t="s">
        <v>433</v>
      </c>
      <c r="O104" s="5">
        <v>1981</v>
      </c>
      <c r="P104" s="20" t="s">
        <v>434</v>
      </c>
    </row>
    <row r="105" spans="1:16" ht="136" x14ac:dyDescent="0.2">
      <c r="A105" s="15">
        <v>121</v>
      </c>
      <c r="B105" s="16" t="s">
        <v>582</v>
      </c>
      <c r="C105" s="24">
        <v>2.0999999999999999E-3</v>
      </c>
      <c r="D105" s="44" t="s">
        <v>966</v>
      </c>
      <c r="E105" s="24">
        <v>0.03</v>
      </c>
      <c r="F105" s="18">
        <v>5.6</v>
      </c>
      <c r="G105" s="19">
        <v>21</v>
      </c>
      <c r="H105" s="20" t="s">
        <v>489</v>
      </c>
      <c r="I105" s="5" t="s">
        <v>514</v>
      </c>
      <c r="J105" s="19" t="s">
        <v>469</v>
      </c>
      <c r="K105" s="19" t="s">
        <v>583</v>
      </c>
      <c r="L105" s="19" t="s">
        <v>564</v>
      </c>
      <c r="M105" s="22">
        <v>28</v>
      </c>
      <c r="N105" s="5" t="s">
        <v>560</v>
      </c>
      <c r="O105" s="5">
        <v>2004</v>
      </c>
      <c r="P105" s="20" t="s">
        <v>561</v>
      </c>
    </row>
    <row r="106" spans="1:16" x14ac:dyDescent="0.2">
      <c r="A106" s="15">
        <v>171</v>
      </c>
      <c r="B106" s="16" t="s">
        <v>695</v>
      </c>
      <c r="C106" s="7">
        <v>1436</v>
      </c>
      <c r="D106" s="50" t="s">
        <v>1016</v>
      </c>
      <c r="E106" s="7">
        <f>49.3/359*C106</f>
        <v>197.2</v>
      </c>
      <c r="F106" s="18">
        <v>7</v>
      </c>
      <c r="G106" s="19" t="s">
        <v>476</v>
      </c>
      <c r="H106" s="20" t="s">
        <v>432</v>
      </c>
      <c r="I106" s="5" t="s">
        <v>325</v>
      </c>
      <c r="J106" s="19" t="s">
        <v>326</v>
      </c>
      <c r="K106" s="19">
        <v>5</v>
      </c>
      <c r="L106" s="19">
        <v>2.5000000000000001E-4</v>
      </c>
      <c r="M106" s="22">
        <v>40</v>
      </c>
      <c r="N106" s="5" t="s">
        <v>696</v>
      </c>
      <c r="O106" s="5">
        <v>2010</v>
      </c>
      <c r="P106" s="20" t="s">
        <v>697</v>
      </c>
    </row>
    <row r="107" spans="1:16" ht="68" x14ac:dyDescent="0.2">
      <c r="A107" s="15">
        <v>2</v>
      </c>
      <c r="B107" s="16" t="s">
        <v>329</v>
      </c>
      <c r="C107" s="7">
        <v>178</v>
      </c>
      <c r="D107" s="43" t="s">
        <v>1008</v>
      </c>
      <c r="E107" s="7">
        <f>1/105*C107</f>
        <v>1.6952380952380954</v>
      </c>
      <c r="F107" s="18">
        <v>13</v>
      </c>
      <c r="G107" s="19">
        <v>25</v>
      </c>
      <c r="H107" s="20" t="s">
        <v>324</v>
      </c>
      <c r="I107" s="5" t="s">
        <v>325</v>
      </c>
      <c r="J107" s="19" t="s">
        <v>326</v>
      </c>
      <c r="K107" s="19">
        <v>1.46</v>
      </c>
      <c r="L107" s="19">
        <v>5.8900000000000001E-4</v>
      </c>
      <c r="M107" s="22">
        <v>1</v>
      </c>
      <c r="N107" s="5" t="s">
        <v>327</v>
      </c>
      <c r="O107" s="5">
        <v>1965</v>
      </c>
      <c r="P107" s="20" t="s">
        <v>328</v>
      </c>
    </row>
    <row r="108" spans="1:16" ht="75" x14ac:dyDescent="0.2">
      <c r="A108" s="15">
        <v>1</v>
      </c>
      <c r="B108" s="16" t="s">
        <v>323</v>
      </c>
      <c r="C108" s="17">
        <v>10.6</v>
      </c>
      <c r="D108" s="48" t="s">
        <v>1009</v>
      </c>
      <c r="E108" s="17">
        <f>1/43*C108</f>
        <v>0.24651162790697673</v>
      </c>
      <c r="F108" s="18">
        <v>13</v>
      </c>
      <c r="G108" s="19">
        <v>25</v>
      </c>
      <c r="H108" s="20" t="s">
        <v>324</v>
      </c>
      <c r="I108" s="5" t="s">
        <v>325</v>
      </c>
      <c r="J108" s="19" t="s">
        <v>326</v>
      </c>
      <c r="K108" s="19">
        <v>10</v>
      </c>
      <c r="L108" s="21">
        <v>4.0499999999999998E-3</v>
      </c>
      <c r="M108" s="22">
        <v>1</v>
      </c>
      <c r="N108" s="5" t="s">
        <v>327</v>
      </c>
      <c r="O108" s="5">
        <v>1965</v>
      </c>
      <c r="P108" s="20" t="s">
        <v>328</v>
      </c>
    </row>
    <row r="109" spans="1:16" x14ac:dyDescent="0.2">
      <c r="A109" s="15">
        <v>82</v>
      </c>
      <c r="B109" s="16" t="s">
        <v>323</v>
      </c>
      <c r="C109" s="24">
        <v>1.2999999999999999E-3</v>
      </c>
      <c r="D109" s="46" t="s">
        <v>970</v>
      </c>
      <c r="E109" s="24"/>
      <c r="F109" s="18">
        <v>4.8</v>
      </c>
      <c r="G109" s="19">
        <v>25</v>
      </c>
      <c r="H109" s="20" t="s">
        <v>495</v>
      </c>
      <c r="I109" s="5" t="s">
        <v>325</v>
      </c>
      <c r="J109" s="19" t="s">
        <v>326</v>
      </c>
      <c r="K109" s="19">
        <v>10</v>
      </c>
      <c r="L109" s="19">
        <v>0.01</v>
      </c>
      <c r="M109" s="22">
        <v>19</v>
      </c>
      <c r="N109" s="5" t="s">
        <v>496</v>
      </c>
      <c r="O109" s="5">
        <v>2000</v>
      </c>
      <c r="P109" s="20" t="s">
        <v>497</v>
      </c>
    </row>
    <row r="110" spans="1:16" x14ac:dyDescent="0.2">
      <c r="A110" s="15">
        <v>129</v>
      </c>
      <c r="B110" s="16" t="s">
        <v>604</v>
      </c>
      <c r="C110" s="23">
        <f>0.176/0.03</f>
        <v>5.8666666666666663</v>
      </c>
      <c r="D110" s="46" t="s">
        <v>970</v>
      </c>
      <c r="E110" s="23"/>
      <c r="F110" s="18">
        <v>4.5999999999999996</v>
      </c>
      <c r="G110" s="19">
        <v>25</v>
      </c>
      <c r="H110" s="20" t="s">
        <v>605</v>
      </c>
      <c r="I110" s="5" t="s">
        <v>325</v>
      </c>
      <c r="J110" s="19" t="s">
        <v>326</v>
      </c>
      <c r="K110" s="19">
        <f>30/0.5</f>
        <v>60</v>
      </c>
      <c r="L110" s="19">
        <v>0.03</v>
      </c>
      <c r="M110" s="22">
        <v>30</v>
      </c>
      <c r="N110" s="5" t="s">
        <v>496</v>
      </c>
      <c r="O110" s="5">
        <v>2006</v>
      </c>
      <c r="P110" s="20" t="s">
        <v>606</v>
      </c>
    </row>
    <row r="111" spans="1:16" x14ac:dyDescent="0.2">
      <c r="A111" s="15">
        <v>26</v>
      </c>
      <c r="B111" s="16" t="s">
        <v>386</v>
      </c>
      <c r="C111" s="17">
        <v>60</v>
      </c>
      <c r="D111" s="48" t="s">
        <v>970</v>
      </c>
      <c r="E111" s="17"/>
      <c r="F111" s="18">
        <v>3.8</v>
      </c>
      <c r="G111" s="19">
        <v>24.4</v>
      </c>
      <c r="H111" s="20" t="s">
        <v>387</v>
      </c>
      <c r="I111" s="5" t="s">
        <v>325</v>
      </c>
      <c r="J111" s="19" t="s">
        <v>326</v>
      </c>
      <c r="K111" s="19">
        <v>10</v>
      </c>
      <c r="L111" s="19">
        <v>0.01</v>
      </c>
      <c r="M111" s="22">
        <v>4</v>
      </c>
      <c r="N111" s="5" t="s">
        <v>388</v>
      </c>
      <c r="O111" s="5">
        <v>1972</v>
      </c>
      <c r="P111" s="20" t="s">
        <v>389</v>
      </c>
    </row>
    <row r="112" spans="1:16" x14ac:dyDescent="0.2">
      <c r="A112" s="15">
        <v>7</v>
      </c>
      <c r="B112" s="16" t="s">
        <v>344</v>
      </c>
      <c r="C112" s="7">
        <v>330</v>
      </c>
      <c r="D112" s="50" t="s">
        <v>1010</v>
      </c>
      <c r="E112" s="7">
        <v>17</v>
      </c>
      <c r="F112" s="18">
        <v>13</v>
      </c>
      <c r="G112" s="19">
        <v>25</v>
      </c>
      <c r="H112" s="20" t="s">
        <v>345</v>
      </c>
      <c r="I112" s="5" t="s">
        <v>325</v>
      </c>
      <c r="J112" s="19" t="s">
        <v>326</v>
      </c>
      <c r="K112" s="19" t="s">
        <v>346</v>
      </c>
      <c r="L112" s="19" t="s">
        <v>347</v>
      </c>
      <c r="M112" s="22">
        <v>2</v>
      </c>
      <c r="N112" s="5" t="s">
        <v>327</v>
      </c>
      <c r="O112" s="5">
        <v>1966</v>
      </c>
      <c r="P112" s="20" t="s">
        <v>343</v>
      </c>
    </row>
    <row r="113" spans="1:16" ht="60" x14ac:dyDescent="0.2">
      <c r="A113" s="15">
        <v>152</v>
      </c>
      <c r="B113" s="16" t="s">
        <v>647</v>
      </c>
      <c r="C113" s="23">
        <v>2.4</v>
      </c>
      <c r="D113" s="46" t="s">
        <v>978</v>
      </c>
      <c r="E113" s="23">
        <v>0.2</v>
      </c>
      <c r="F113" s="30">
        <v>7</v>
      </c>
      <c r="G113" s="7">
        <v>25</v>
      </c>
      <c r="H113" s="20" t="s">
        <v>432</v>
      </c>
      <c r="I113" s="5" t="s">
        <v>325</v>
      </c>
      <c r="J113" s="19" t="s">
        <v>326</v>
      </c>
      <c r="K113" s="19" t="s">
        <v>423</v>
      </c>
      <c r="L113" s="19" t="s">
        <v>635</v>
      </c>
      <c r="M113" s="22">
        <v>31</v>
      </c>
      <c r="N113" s="5" t="s">
        <v>611</v>
      </c>
      <c r="O113" s="5">
        <v>2006</v>
      </c>
      <c r="P113" s="20" t="s">
        <v>612</v>
      </c>
    </row>
    <row r="114" spans="1:16" x14ac:dyDescent="0.2">
      <c r="A114" s="15">
        <v>6</v>
      </c>
      <c r="B114" s="16" t="s">
        <v>339</v>
      </c>
      <c r="C114" s="7">
        <v>140</v>
      </c>
      <c r="D114" s="50" t="s">
        <v>1011</v>
      </c>
      <c r="E114" s="7">
        <v>7</v>
      </c>
      <c r="F114" s="18">
        <v>6.5</v>
      </c>
      <c r="G114" s="19">
        <v>25</v>
      </c>
      <c r="H114" s="20" t="s">
        <v>340</v>
      </c>
      <c r="I114" s="5" t="s">
        <v>325</v>
      </c>
      <c r="J114" s="19" t="s">
        <v>326</v>
      </c>
      <c r="K114" s="19" t="s">
        <v>341</v>
      </c>
      <c r="L114" s="19" t="s">
        <v>342</v>
      </c>
      <c r="M114" s="22">
        <v>2</v>
      </c>
      <c r="N114" s="5" t="s">
        <v>327</v>
      </c>
      <c r="O114" s="5">
        <v>1966</v>
      </c>
      <c r="P114" s="20" t="s">
        <v>343</v>
      </c>
    </row>
    <row r="115" spans="1:16" ht="75" x14ac:dyDescent="0.2">
      <c r="A115" s="15">
        <v>157</v>
      </c>
      <c r="B115" s="16" t="s">
        <v>658</v>
      </c>
      <c r="C115" s="7">
        <v>21000</v>
      </c>
      <c r="D115" s="50" t="s">
        <v>1017</v>
      </c>
      <c r="E115" s="7">
        <v>3000</v>
      </c>
      <c r="F115" s="18">
        <v>7</v>
      </c>
      <c r="G115" s="19">
        <v>20</v>
      </c>
      <c r="H115" s="20" t="s">
        <v>547</v>
      </c>
      <c r="I115" s="5" t="s">
        <v>548</v>
      </c>
      <c r="J115" s="19" t="s">
        <v>469</v>
      </c>
      <c r="K115" s="19" t="s">
        <v>659</v>
      </c>
      <c r="L115" s="19" t="s">
        <v>660</v>
      </c>
      <c r="M115" s="22">
        <v>33</v>
      </c>
      <c r="N115" s="5" t="s">
        <v>651</v>
      </c>
      <c r="O115" s="5">
        <v>2007</v>
      </c>
      <c r="P115" s="20" t="s">
        <v>661</v>
      </c>
    </row>
    <row r="116" spans="1:16" x14ac:dyDescent="0.2">
      <c r="A116" s="15">
        <v>301</v>
      </c>
      <c r="B116" s="16" t="s">
        <v>893</v>
      </c>
      <c r="C116" s="23">
        <v>9.44</v>
      </c>
      <c r="D116" s="46" t="s">
        <v>970</v>
      </c>
      <c r="E116" s="23"/>
      <c r="F116" s="18">
        <v>7</v>
      </c>
      <c r="G116" s="19">
        <v>25</v>
      </c>
      <c r="H116" s="20" t="s">
        <v>792</v>
      </c>
      <c r="I116" s="5" t="s">
        <v>548</v>
      </c>
      <c r="J116" s="19" t="s">
        <v>469</v>
      </c>
      <c r="K116" s="19" t="s">
        <v>813</v>
      </c>
      <c r="L116" s="19" t="s">
        <v>894</v>
      </c>
      <c r="M116" s="22">
        <v>76</v>
      </c>
      <c r="N116" s="5" t="s">
        <v>811</v>
      </c>
      <c r="O116" s="5">
        <v>2019</v>
      </c>
      <c r="P116" s="20" t="s">
        <v>895</v>
      </c>
    </row>
    <row r="117" spans="1:16" x14ac:dyDescent="0.2">
      <c r="A117" s="15">
        <v>190</v>
      </c>
      <c r="B117" s="16" t="s">
        <v>713</v>
      </c>
      <c r="C117" s="23">
        <v>1.88</v>
      </c>
      <c r="D117" s="46" t="s">
        <v>1016</v>
      </c>
      <c r="E117" s="23">
        <f>0.15/0.47*C117</f>
        <v>0.6</v>
      </c>
      <c r="F117" s="18">
        <v>7</v>
      </c>
      <c r="G117" s="19" t="s">
        <v>476</v>
      </c>
      <c r="H117" s="20" t="s">
        <v>432</v>
      </c>
      <c r="I117" s="5" t="s">
        <v>325</v>
      </c>
      <c r="J117" s="19" t="s">
        <v>326</v>
      </c>
      <c r="K117" s="19">
        <v>5</v>
      </c>
      <c r="L117" s="19">
        <v>2.5000000000000001E-4</v>
      </c>
      <c r="M117" s="22">
        <v>40</v>
      </c>
      <c r="N117" s="5" t="s">
        <v>696</v>
      </c>
      <c r="O117" s="5">
        <v>2010</v>
      </c>
      <c r="P117" s="20" t="s">
        <v>697</v>
      </c>
    </row>
    <row r="118" spans="1:16" x14ac:dyDescent="0.2">
      <c r="A118" s="15">
        <v>194</v>
      </c>
      <c r="B118" s="16" t="s">
        <v>717</v>
      </c>
      <c r="C118" s="23">
        <v>1.1599999999999999</v>
      </c>
      <c r="D118" s="46" t="s">
        <v>1016</v>
      </c>
      <c r="E118" s="23">
        <f>0.05/0.29*C118</f>
        <v>0.2</v>
      </c>
      <c r="F118" s="18">
        <v>7</v>
      </c>
      <c r="G118" s="19" t="s">
        <v>476</v>
      </c>
      <c r="H118" s="20" t="s">
        <v>432</v>
      </c>
      <c r="I118" s="5" t="s">
        <v>325</v>
      </c>
      <c r="J118" s="19" t="s">
        <v>326</v>
      </c>
      <c r="K118" s="19">
        <v>5</v>
      </c>
      <c r="L118" s="19">
        <v>2.5000000000000001E-4</v>
      </c>
      <c r="M118" s="22">
        <v>40</v>
      </c>
      <c r="N118" s="5" t="s">
        <v>696</v>
      </c>
      <c r="O118" s="5">
        <v>2010</v>
      </c>
      <c r="P118" s="20" t="s">
        <v>697</v>
      </c>
    </row>
    <row r="119" spans="1:16" x14ac:dyDescent="0.2">
      <c r="A119" s="15">
        <v>180</v>
      </c>
      <c r="B119" s="16" t="s">
        <v>704</v>
      </c>
      <c r="C119" s="17">
        <v>46.8</v>
      </c>
      <c r="D119" s="46" t="s">
        <v>1016</v>
      </c>
      <c r="E119" s="17">
        <f>1.44/11.7*C119</f>
        <v>5.76</v>
      </c>
      <c r="F119" s="18">
        <v>7</v>
      </c>
      <c r="G119" s="19" t="s">
        <v>476</v>
      </c>
      <c r="H119" s="20" t="s">
        <v>432</v>
      </c>
      <c r="I119" s="5" t="s">
        <v>325</v>
      </c>
      <c r="J119" s="19" t="s">
        <v>326</v>
      </c>
      <c r="K119" s="19">
        <v>5</v>
      </c>
      <c r="L119" s="19">
        <v>2.5000000000000001E-4</v>
      </c>
      <c r="M119" s="22">
        <v>40</v>
      </c>
      <c r="N119" s="5" t="s">
        <v>696</v>
      </c>
      <c r="O119" s="5">
        <v>2010</v>
      </c>
      <c r="P119" s="20" t="s">
        <v>697</v>
      </c>
    </row>
    <row r="120" spans="1:16" x14ac:dyDescent="0.2">
      <c r="A120" s="15">
        <v>72</v>
      </c>
      <c r="B120" s="16" t="s">
        <v>465</v>
      </c>
      <c r="C120" s="23">
        <v>0.33500000000000002</v>
      </c>
      <c r="D120" s="46" t="s">
        <v>970</v>
      </c>
      <c r="E120" s="23"/>
      <c r="F120" s="18">
        <v>7</v>
      </c>
      <c r="G120" s="19">
        <v>25</v>
      </c>
      <c r="H120" s="20" t="s">
        <v>458</v>
      </c>
      <c r="I120" s="5" t="s">
        <v>325</v>
      </c>
      <c r="J120" s="19" t="s">
        <v>326</v>
      </c>
      <c r="K120" s="19">
        <f>L120/0.000381</f>
        <v>11.73228346456693</v>
      </c>
      <c r="L120" s="19">
        <v>4.47E-3</v>
      </c>
      <c r="M120" s="22">
        <v>14</v>
      </c>
      <c r="N120" s="5" t="s">
        <v>459</v>
      </c>
      <c r="O120" s="5">
        <v>1996</v>
      </c>
      <c r="P120" s="20" t="s">
        <v>460</v>
      </c>
    </row>
    <row r="121" spans="1:16" ht="45" x14ac:dyDescent="0.2">
      <c r="A121" s="15">
        <v>86</v>
      </c>
      <c r="B121" s="16" t="s">
        <v>501</v>
      </c>
      <c r="C121" s="24">
        <v>6.9999999999999999E-6</v>
      </c>
      <c r="D121" s="47" t="s">
        <v>1033</v>
      </c>
      <c r="E121" s="24">
        <f>0.06*C121</f>
        <v>4.2E-7</v>
      </c>
      <c r="F121" s="18" t="s">
        <v>502</v>
      </c>
      <c r="G121" s="19">
        <v>70</v>
      </c>
      <c r="H121" s="20" t="s">
        <v>503</v>
      </c>
      <c r="I121" s="5" t="s">
        <v>476</v>
      </c>
      <c r="J121" s="19" t="s">
        <v>476</v>
      </c>
      <c r="K121" s="19" t="s">
        <v>476</v>
      </c>
      <c r="L121" s="19" t="s">
        <v>476</v>
      </c>
      <c r="M121" s="22">
        <v>20</v>
      </c>
      <c r="N121" s="5" t="s">
        <v>504</v>
      </c>
      <c r="O121" s="5">
        <v>2000</v>
      </c>
      <c r="P121" s="20" t="s">
        <v>505</v>
      </c>
    </row>
    <row r="122" spans="1:16" x14ac:dyDescent="0.2">
      <c r="A122" s="15">
        <v>124</v>
      </c>
      <c r="B122" s="16" t="s">
        <v>501</v>
      </c>
      <c r="C122" s="19" t="s">
        <v>589</v>
      </c>
      <c r="D122" s="51" t="s">
        <v>970</v>
      </c>
      <c r="E122" s="19"/>
      <c r="F122" s="18">
        <v>5.6</v>
      </c>
      <c r="G122" s="19">
        <v>21</v>
      </c>
      <c r="H122" s="20" t="s">
        <v>489</v>
      </c>
      <c r="I122" s="5" t="s">
        <v>514</v>
      </c>
      <c r="J122" s="19" t="s">
        <v>469</v>
      </c>
      <c r="K122" s="19" t="s">
        <v>590</v>
      </c>
      <c r="L122" s="19" t="s">
        <v>575</v>
      </c>
      <c r="M122" s="22">
        <v>28</v>
      </c>
      <c r="N122" s="5" t="s">
        <v>560</v>
      </c>
      <c r="O122" s="5">
        <v>2004</v>
      </c>
      <c r="P122" s="20" t="s">
        <v>561</v>
      </c>
    </row>
    <row r="123" spans="1:16" ht="45" x14ac:dyDescent="0.2">
      <c r="A123" s="15">
        <v>110</v>
      </c>
      <c r="B123" s="16" t="s">
        <v>551</v>
      </c>
      <c r="C123" s="23">
        <v>1.04</v>
      </c>
      <c r="D123" s="46" t="s">
        <v>1034</v>
      </c>
      <c r="E123" s="23">
        <v>0.02</v>
      </c>
      <c r="F123" s="18">
        <v>3</v>
      </c>
      <c r="G123" s="19">
        <v>21</v>
      </c>
      <c r="H123" s="20" t="s">
        <v>552</v>
      </c>
      <c r="I123" s="5" t="s">
        <v>325</v>
      </c>
      <c r="J123" s="19" t="s">
        <v>326</v>
      </c>
      <c r="K123" s="19" t="s">
        <v>553</v>
      </c>
      <c r="L123" s="19" t="s">
        <v>554</v>
      </c>
      <c r="M123" s="22">
        <v>27</v>
      </c>
      <c r="N123" s="5" t="s">
        <v>555</v>
      </c>
      <c r="O123" s="5">
        <v>2004</v>
      </c>
      <c r="P123" s="20" t="s">
        <v>556</v>
      </c>
    </row>
    <row r="124" spans="1:16" x14ac:dyDescent="0.2">
      <c r="A124" s="15">
        <v>332</v>
      </c>
      <c r="B124" s="16" t="s">
        <v>962</v>
      </c>
      <c r="C124" s="23">
        <f>0.0202/60/(0.00001*20)</f>
        <v>1.6833333333333331</v>
      </c>
      <c r="D124" s="46" t="s">
        <v>970</v>
      </c>
      <c r="E124" s="19"/>
      <c r="F124" s="18">
        <v>8</v>
      </c>
      <c r="G124" s="19">
        <v>25</v>
      </c>
      <c r="H124" s="20" t="s">
        <v>792</v>
      </c>
      <c r="I124" s="34" t="s">
        <v>548</v>
      </c>
      <c r="J124" s="19" t="s">
        <v>469</v>
      </c>
      <c r="K124" s="19">
        <v>20</v>
      </c>
      <c r="L124" s="19">
        <v>2.0000000000000001E-4</v>
      </c>
      <c r="M124" s="22">
        <v>89</v>
      </c>
      <c r="N124" s="5" t="s">
        <v>963</v>
      </c>
      <c r="O124" s="5">
        <v>2021</v>
      </c>
      <c r="P124" s="20" t="s">
        <v>964</v>
      </c>
    </row>
    <row r="125" spans="1:16" x14ac:dyDescent="0.2">
      <c r="A125" s="15">
        <v>71</v>
      </c>
      <c r="B125" s="16" t="s">
        <v>464</v>
      </c>
      <c r="C125" s="26">
        <v>3.1800000000000002E-2</v>
      </c>
      <c r="D125" s="46" t="s">
        <v>970</v>
      </c>
      <c r="E125" s="26"/>
      <c r="F125" s="18">
        <v>7</v>
      </c>
      <c r="G125" s="19">
        <v>25</v>
      </c>
      <c r="H125" s="20" t="s">
        <v>458</v>
      </c>
      <c r="I125" s="5" t="s">
        <v>325</v>
      </c>
      <c r="J125" s="19" t="s">
        <v>326</v>
      </c>
      <c r="K125" s="19">
        <f>L125/0.000381</f>
        <v>11.522309711286089</v>
      </c>
      <c r="L125" s="19">
        <v>4.3899999999999998E-3</v>
      </c>
      <c r="M125" s="22">
        <v>14</v>
      </c>
      <c r="N125" s="5" t="s">
        <v>459</v>
      </c>
      <c r="O125" s="5">
        <v>1996</v>
      </c>
      <c r="P125" s="20" t="s">
        <v>460</v>
      </c>
    </row>
    <row r="126" spans="1:16" x14ac:dyDescent="0.2">
      <c r="A126" s="15">
        <v>126</v>
      </c>
      <c r="B126" s="16" t="s">
        <v>593</v>
      </c>
      <c r="C126" s="19" t="s">
        <v>594</v>
      </c>
      <c r="D126" s="46" t="s">
        <v>970</v>
      </c>
      <c r="E126" s="19"/>
      <c r="F126" s="18">
        <v>5.6</v>
      </c>
      <c r="G126" s="19">
        <v>21</v>
      </c>
      <c r="H126" s="20" t="s">
        <v>489</v>
      </c>
      <c r="I126" s="5" t="s">
        <v>514</v>
      </c>
      <c r="J126" s="19" t="s">
        <v>469</v>
      </c>
      <c r="K126" s="19" t="s">
        <v>595</v>
      </c>
      <c r="L126" s="19" t="s">
        <v>596</v>
      </c>
      <c r="M126" s="22">
        <v>28</v>
      </c>
      <c r="N126" s="5" t="s">
        <v>560</v>
      </c>
      <c r="O126" s="5">
        <v>2004</v>
      </c>
      <c r="P126" s="20" t="s">
        <v>561</v>
      </c>
    </row>
    <row r="127" spans="1:16" x14ac:dyDescent="0.2">
      <c r="A127" s="15">
        <v>175</v>
      </c>
      <c r="B127" s="16" t="s">
        <v>699</v>
      </c>
      <c r="C127" s="7">
        <v>128.91999999999999</v>
      </c>
      <c r="D127" s="50" t="s">
        <v>1016</v>
      </c>
      <c r="E127" s="7">
        <f>0.15/32.23*C127</f>
        <v>0.6</v>
      </c>
      <c r="F127" s="18">
        <v>7</v>
      </c>
      <c r="G127" s="19" t="s">
        <v>476</v>
      </c>
      <c r="H127" s="20" t="s">
        <v>432</v>
      </c>
      <c r="I127" s="5" t="s">
        <v>325</v>
      </c>
      <c r="J127" s="19" t="s">
        <v>326</v>
      </c>
      <c r="K127" s="19">
        <v>5</v>
      </c>
      <c r="L127" s="19">
        <v>2.5000000000000001E-4</v>
      </c>
      <c r="M127" s="22">
        <v>40</v>
      </c>
      <c r="N127" s="5" t="s">
        <v>696</v>
      </c>
      <c r="O127" s="5">
        <v>2010</v>
      </c>
      <c r="P127" s="20" t="s">
        <v>697</v>
      </c>
    </row>
    <row r="128" spans="1:16" x14ac:dyDescent="0.2">
      <c r="A128" s="15">
        <v>216</v>
      </c>
      <c r="B128" s="16" t="s">
        <v>699</v>
      </c>
      <c r="C128" s="17">
        <v>35.799999999999997</v>
      </c>
      <c r="D128" s="48" t="s">
        <v>970</v>
      </c>
      <c r="E128" s="17"/>
      <c r="F128" s="18">
        <v>7</v>
      </c>
      <c r="G128" s="19">
        <v>23</v>
      </c>
      <c r="H128" s="20" t="s">
        <v>742</v>
      </c>
      <c r="I128" s="5" t="s">
        <v>548</v>
      </c>
      <c r="J128" s="19" t="s">
        <v>469</v>
      </c>
      <c r="K128" s="19">
        <v>10</v>
      </c>
      <c r="L128" s="19">
        <v>6.0000000000000002E-5</v>
      </c>
      <c r="M128" s="22">
        <v>43</v>
      </c>
      <c r="N128" s="5" t="s">
        <v>678</v>
      </c>
      <c r="O128" s="5">
        <v>2010</v>
      </c>
      <c r="P128" s="20" t="s">
        <v>743</v>
      </c>
    </row>
    <row r="129" spans="1:16" x14ac:dyDescent="0.2">
      <c r="A129" s="15">
        <v>249</v>
      </c>
      <c r="B129" s="16" t="s">
        <v>699</v>
      </c>
      <c r="C129" s="7">
        <v>140</v>
      </c>
      <c r="D129" s="50" t="s">
        <v>1035</v>
      </c>
      <c r="E129" s="7">
        <v>20</v>
      </c>
      <c r="F129" s="18">
        <v>7.5</v>
      </c>
      <c r="G129" s="19">
        <v>25</v>
      </c>
      <c r="H129" s="20" t="s">
        <v>789</v>
      </c>
      <c r="I129" s="5" t="s">
        <v>548</v>
      </c>
      <c r="J129" s="19" t="s">
        <v>469</v>
      </c>
      <c r="K129" s="7">
        <f>181/2.1</f>
        <v>86.19047619047619</v>
      </c>
      <c r="L129" s="19">
        <v>1.8100000000000001E-4</v>
      </c>
      <c r="M129" s="22">
        <v>52</v>
      </c>
      <c r="N129" s="5" t="s">
        <v>790</v>
      </c>
      <c r="O129" s="5">
        <v>2013</v>
      </c>
      <c r="P129" s="20" t="s">
        <v>791</v>
      </c>
    </row>
    <row r="130" spans="1:16" x14ac:dyDescent="0.2">
      <c r="A130" s="15">
        <v>251</v>
      </c>
      <c r="B130" s="16" t="s">
        <v>699</v>
      </c>
      <c r="C130" s="17">
        <v>130.4</v>
      </c>
      <c r="D130" s="48" t="s">
        <v>970</v>
      </c>
      <c r="E130" s="17"/>
      <c r="F130" s="18">
        <v>7.5</v>
      </c>
      <c r="G130" s="19">
        <v>25</v>
      </c>
      <c r="H130" s="20" t="s">
        <v>792</v>
      </c>
      <c r="I130" s="5" t="s">
        <v>548</v>
      </c>
      <c r="J130" s="19" t="s">
        <v>469</v>
      </c>
      <c r="K130" s="17">
        <f>181/8.4</f>
        <v>21.547619047619047</v>
      </c>
      <c r="L130" s="19">
        <v>1.8100000000000001E-4</v>
      </c>
      <c r="M130" s="22">
        <v>53</v>
      </c>
      <c r="N130" s="5" t="s">
        <v>790</v>
      </c>
      <c r="O130" s="5">
        <v>2013</v>
      </c>
      <c r="P130" s="20" t="s">
        <v>793</v>
      </c>
    </row>
    <row r="131" spans="1:16" ht="240" x14ac:dyDescent="0.2">
      <c r="A131" s="15">
        <v>286</v>
      </c>
      <c r="B131" s="16" t="s">
        <v>699</v>
      </c>
      <c r="C131" s="17">
        <v>34</v>
      </c>
      <c r="D131" s="48" t="s">
        <v>1003</v>
      </c>
      <c r="E131" s="17">
        <v>1.7</v>
      </c>
      <c r="F131" s="18">
        <v>7</v>
      </c>
      <c r="G131" s="19">
        <v>25</v>
      </c>
      <c r="H131" s="20" t="s">
        <v>848</v>
      </c>
      <c r="I131" s="5" t="s">
        <v>548</v>
      </c>
      <c r="J131" s="19" t="s">
        <v>469</v>
      </c>
      <c r="K131" s="19" t="s">
        <v>852</v>
      </c>
      <c r="L131" s="19" t="s">
        <v>849</v>
      </c>
      <c r="M131" s="22">
        <v>67</v>
      </c>
      <c r="N131" s="5" t="s">
        <v>850</v>
      </c>
      <c r="O131" s="5">
        <v>2018</v>
      </c>
      <c r="P131" s="20" t="s">
        <v>851</v>
      </c>
    </row>
    <row r="132" spans="1:16" x14ac:dyDescent="0.2">
      <c r="A132" s="15">
        <v>300</v>
      </c>
      <c r="B132" s="16" t="s">
        <v>890</v>
      </c>
      <c r="C132" s="23">
        <v>0.82</v>
      </c>
      <c r="D132" s="46" t="s">
        <v>970</v>
      </c>
      <c r="E132" s="23"/>
      <c r="F132" s="18">
        <v>7</v>
      </c>
      <c r="G132" s="19">
        <v>25</v>
      </c>
      <c r="H132" s="20" t="s">
        <v>848</v>
      </c>
      <c r="I132" s="5" t="s">
        <v>548</v>
      </c>
      <c r="J132" s="19" t="s">
        <v>469</v>
      </c>
      <c r="K132" s="19" t="s">
        <v>891</v>
      </c>
      <c r="L132" s="19" t="s">
        <v>631</v>
      </c>
      <c r="M132" s="22">
        <v>75</v>
      </c>
      <c r="N132" s="5" t="s">
        <v>850</v>
      </c>
      <c r="O132" s="5">
        <v>2019</v>
      </c>
      <c r="P132" s="20" t="s">
        <v>892</v>
      </c>
    </row>
    <row r="133" spans="1:16" x14ac:dyDescent="0.2">
      <c r="A133" s="15">
        <v>266</v>
      </c>
      <c r="B133" s="16" t="s">
        <v>828</v>
      </c>
      <c r="C133" s="26">
        <v>3.2000000000000001E-2</v>
      </c>
      <c r="D133" s="49" t="s">
        <v>970</v>
      </c>
      <c r="E133" s="26"/>
      <c r="F133" s="18">
        <v>7</v>
      </c>
      <c r="G133" s="19">
        <v>20</v>
      </c>
      <c r="H133" s="20" t="s">
        <v>792</v>
      </c>
      <c r="I133" s="5" t="s">
        <v>548</v>
      </c>
      <c r="J133" s="19" t="s">
        <v>469</v>
      </c>
      <c r="K133" s="19">
        <f>0.01/0.000005</f>
        <v>1999.9999999999998</v>
      </c>
      <c r="L133" s="19">
        <v>0.01</v>
      </c>
      <c r="M133" s="22">
        <v>62</v>
      </c>
      <c r="N133" s="5" t="s">
        <v>829</v>
      </c>
      <c r="O133" s="5">
        <v>2017</v>
      </c>
      <c r="P133" s="20" t="s">
        <v>830</v>
      </c>
    </row>
    <row r="134" spans="1:16" ht="75" x14ac:dyDescent="0.2">
      <c r="A134" s="15">
        <v>46</v>
      </c>
      <c r="B134" s="16" t="s">
        <v>429</v>
      </c>
      <c r="C134" s="23">
        <v>2.7</v>
      </c>
      <c r="D134" s="46" t="s">
        <v>1026</v>
      </c>
      <c r="E134" s="23">
        <f>0.08*C134</f>
        <v>0.21600000000000003</v>
      </c>
      <c r="F134" s="18" t="s">
        <v>105</v>
      </c>
      <c r="G134" s="19">
        <v>25</v>
      </c>
      <c r="H134" s="20" t="s">
        <v>391</v>
      </c>
      <c r="I134" s="5" t="s">
        <v>325</v>
      </c>
      <c r="J134" s="19" t="s">
        <v>392</v>
      </c>
      <c r="K134" s="19" t="s">
        <v>393</v>
      </c>
      <c r="L134" s="19" t="s">
        <v>393</v>
      </c>
      <c r="M134" s="22">
        <v>10</v>
      </c>
      <c r="N134" s="5" t="s">
        <v>426</v>
      </c>
      <c r="O134" s="5">
        <v>1977</v>
      </c>
      <c r="P134" s="20" t="s">
        <v>427</v>
      </c>
    </row>
    <row r="135" spans="1:16" ht="90" x14ac:dyDescent="0.2">
      <c r="A135" s="15">
        <v>30</v>
      </c>
      <c r="B135" s="16" t="s">
        <v>399</v>
      </c>
      <c r="C135" s="17">
        <v>12.5</v>
      </c>
      <c r="D135" s="48" t="s">
        <v>1032</v>
      </c>
      <c r="E135" s="17">
        <v>0.8</v>
      </c>
      <c r="F135" s="18" t="s">
        <v>397</v>
      </c>
      <c r="G135" s="19">
        <v>25</v>
      </c>
      <c r="H135" s="20" t="s">
        <v>391</v>
      </c>
      <c r="I135" s="5" t="s">
        <v>325</v>
      </c>
      <c r="J135" s="19" t="s">
        <v>326</v>
      </c>
      <c r="K135" s="19">
        <v>10</v>
      </c>
      <c r="L135" s="24">
        <v>1.4999999999999999E-2</v>
      </c>
      <c r="M135" s="25">
        <v>6</v>
      </c>
      <c r="N135" s="5" t="s">
        <v>388</v>
      </c>
      <c r="O135" s="5">
        <v>1973</v>
      </c>
      <c r="P135" s="20" t="s">
        <v>398</v>
      </c>
    </row>
    <row r="136" spans="1:16" x14ac:dyDescent="0.2">
      <c r="A136" s="15">
        <v>84</v>
      </c>
      <c r="B136" s="16" t="s">
        <v>499</v>
      </c>
      <c r="C136" s="24">
        <v>2.5999999999999999E-3</v>
      </c>
      <c r="D136" s="47" t="s">
        <v>970</v>
      </c>
      <c r="E136" s="24"/>
      <c r="F136" s="18">
        <v>4.8</v>
      </c>
      <c r="G136" s="19">
        <v>25</v>
      </c>
      <c r="H136" s="20" t="s">
        <v>495</v>
      </c>
      <c r="I136" s="5" t="s">
        <v>325</v>
      </c>
      <c r="J136" s="19" t="s">
        <v>326</v>
      </c>
      <c r="K136" s="7">
        <v>10</v>
      </c>
      <c r="L136" s="19">
        <v>0.01</v>
      </c>
      <c r="M136" s="22">
        <v>19</v>
      </c>
      <c r="N136" s="5" t="s">
        <v>496</v>
      </c>
      <c r="O136" s="5">
        <v>2000</v>
      </c>
      <c r="P136" s="20" t="s">
        <v>497</v>
      </c>
    </row>
    <row r="137" spans="1:16" x14ac:dyDescent="0.2">
      <c r="A137" s="15">
        <v>135</v>
      </c>
      <c r="B137" s="16" t="s">
        <v>499</v>
      </c>
      <c r="C137" s="24">
        <v>9.0700000000000004E-4</v>
      </c>
      <c r="D137" s="47" t="s">
        <v>970</v>
      </c>
      <c r="E137" s="24"/>
      <c r="F137" s="30">
        <v>7</v>
      </c>
      <c r="G137" s="7">
        <v>25</v>
      </c>
      <c r="H137" s="31" t="s">
        <v>608</v>
      </c>
      <c r="I137" s="5" t="s">
        <v>325</v>
      </c>
      <c r="J137" s="19" t="s">
        <v>326</v>
      </c>
      <c r="K137" s="19" t="s">
        <v>618</v>
      </c>
      <c r="L137" s="19" t="s">
        <v>619</v>
      </c>
      <c r="M137" s="22">
        <v>31</v>
      </c>
      <c r="N137" s="5" t="s">
        <v>611</v>
      </c>
      <c r="O137" s="5">
        <v>2006</v>
      </c>
      <c r="P137" s="20" t="s">
        <v>612</v>
      </c>
    </row>
    <row r="138" spans="1:16" x14ac:dyDescent="0.2">
      <c r="A138" s="15">
        <v>85</v>
      </c>
      <c r="B138" s="16" t="s">
        <v>500</v>
      </c>
      <c r="C138" s="24">
        <v>2.7000000000000001E-3</v>
      </c>
      <c r="D138" s="47" t="s">
        <v>970</v>
      </c>
      <c r="E138" s="24"/>
      <c r="F138" s="18">
        <v>4.8</v>
      </c>
      <c r="G138" s="19">
        <v>25</v>
      </c>
      <c r="H138" s="20" t="s">
        <v>495</v>
      </c>
      <c r="I138" s="5" t="s">
        <v>325</v>
      </c>
      <c r="J138" s="19" t="s">
        <v>326</v>
      </c>
      <c r="K138" s="19">
        <v>10</v>
      </c>
      <c r="L138" s="19">
        <v>0.01</v>
      </c>
      <c r="M138" s="22">
        <v>19</v>
      </c>
      <c r="N138" s="5" t="s">
        <v>496</v>
      </c>
      <c r="O138" s="5">
        <v>2000</v>
      </c>
      <c r="P138" s="20" t="s">
        <v>497</v>
      </c>
    </row>
    <row r="139" spans="1:16" x14ac:dyDescent="0.2">
      <c r="A139" s="15">
        <v>205</v>
      </c>
      <c r="B139" s="16" t="s">
        <v>728</v>
      </c>
      <c r="C139" s="26">
        <v>0.05</v>
      </c>
      <c r="D139" s="49" t="s">
        <v>1016</v>
      </c>
      <c r="E139" s="26">
        <f>1.88/1.21*C139</f>
        <v>7.768595041322314E-2</v>
      </c>
      <c r="F139" s="18">
        <v>7</v>
      </c>
      <c r="G139" s="19" t="s">
        <v>476</v>
      </c>
      <c r="H139" s="20" t="s">
        <v>432</v>
      </c>
      <c r="I139" s="5" t="s">
        <v>325</v>
      </c>
      <c r="J139" s="19" t="s">
        <v>326</v>
      </c>
      <c r="K139" s="19">
        <v>5</v>
      </c>
      <c r="L139" s="19">
        <v>2.5000000000000001E-4</v>
      </c>
      <c r="M139" s="22">
        <v>40</v>
      </c>
      <c r="N139" s="5" t="s">
        <v>696</v>
      </c>
      <c r="O139" s="5">
        <v>2010</v>
      </c>
      <c r="P139" s="20" t="s">
        <v>697</v>
      </c>
    </row>
    <row r="140" spans="1:16" x14ac:dyDescent="0.2">
      <c r="A140" s="15">
        <v>206</v>
      </c>
      <c r="B140" s="16" t="s">
        <v>729</v>
      </c>
      <c r="C140" s="26">
        <v>0.04</v>
      </c>
      <c r="D140" s="49" t="s">
        <v>1016</v>
      </c>
      <c r="E140" s="26">
        <f>4.34/9.18*C140</f>
        <v>1.8910675381263616E-2</v>
      </c>
      <c r="F140" s="18">
        <v>7</v>
      </c>
      <c r="G140" s="19" t="s">
        <v>476</v>
      </c>
      <c r="H140" s="20" t="s">
        <v>432</v>
      </c>
      <c r="I140" s="5" t="s">
        <v>325</v>
      </c>
      <c r="J140" s="19" t="s">
        <v>326</v>
      </c>
      <c r="K140" s="19">
        <v>5</v>
      </c>
      <c r="L140" s="19">
        <v>2.5000000000000001E-4</v>
      </c>
      <c r="M140" s="22">
        <v>40</v>
      </c>
      <c r="N140" s="5" t="s">
        <v>696</v>
      </c>
      <c r="O140" s="5">
        <v>2010</v>
      </c>
      <c r="P140" s="20" t="s">
        <v>697</v>
      </c>
    </row>
    <row r="141" spans="1:16" ht="60" x14ac:dyDescent="0.2">
      <c r="A141" s="15">
        <v>160</v>
      </c>
      <c r="B141" s="16" t="s">
        <v>669</v>
      </c>
      <c r="C141" s="7">
        <v>300</v>
      </c>
      <c r="D141" s="50" t="s">
        <v>1024</v>
      </c>
      <c r="E141" s="7">
        <v>30</v>
      </c>
      <c r="F141" s="18">
        <v>7</v>
      </c>
      <c r="G141" s="19">
        <v>25</v>
      </c>
      <c r="H141" s="20" t="s">
        <v>670</v>
      </c>
      <c r="I141" s="5" t="s">
        <v>548</v>
      </c>
      <c r="J141" s="19" t="s">
        <v>469</v>
      </c>
      <c r="K141" s="19" t="s">
        <v>423</v>
      </c>
      <c r="L141" s="19" t="s">
        <v>671</v>
      </c>
      <c r="M141" s="22">
        <v>36</v>
      </c>
      <c r="N141" s="5" t="s">
        <v>672</v>
      </c>
      <c r="O141" s="5">
        <v>2009</v>
      </c>
      <c r="P141" s="20" t="s">
        <v>673</v>
      </c>
    </row>
    <row r="142" spans="1:16" x14ac:dyDescent="0.2">
      <c r="A142" s="15">
        <v>174</v>
      </c>
      <c r="B142" s="16" t="s">
        <v>669</v>
      </c>
      <c r="C142" s="7">
        <v>248.6</v>
      </c>
      <c r="D142" s="50" t="s">
        <v>1016</v>
      </c>
      <c r="E142" s="7">
        <f>1.48/62.15*C142</f>
        <v>5.92</v>
      </c>
      <c r="F142" s="18">
        <v>7</v>
      </c>
      <c r="G142" s="19" t="s">
        <v>476</v>
      </c>
      <c r="H142" s="20" t="s">
        <v>432</v>
      </c>
      <c r="I142" s="5" t="s">
        <v>325</v>
      </c>
      <c r="J142" s="19" t="s">
        <v>326</v>
      </c>
      <c r="K142" s="19">
        <v>5</v>
      </c>
      <c r="L142" s="19">
        <v>2.5000000000000001E-4</v>
      </c>
      <c r="M142" s="22">
        <v>40</v>
      </c>
      <c r="N142" s="5" t="s">
        <v>696</v>
      </c>
      <c r="O142" s="5">
        <v>2010</v>
      </c>
      <c r="P142" s="20" t="s">
        <v>697</v>
      </c>
    </row>
    <row r="143" spans="1:16" x14ac:dyDescent="0.2">
      <c r="A143" s="15">
        <v>217</v>
      </c>
      <c r="B143" s="16" t="s">
        <v>669</v>
      </c>
      <c r="C143" s="7">
        <v>270</v>
      </c>
      <c r="D143" s="50" t="s">
        <v>970</v>
      </c>
      <c r="E143" s="7"/>
      <c r="F143" s="18">
        <v>6</v>
      </c>
      <c r="G143" s="19">
        <v>23</v>
      </c>
      <c r="H143" s="20" t="s">
        <v>742</v>
      </c>
      <c r="I143" s="5" t="s">
        <v>548</v>
      </c>
      <c r="J143" s="19" t="s">
        <v>469</v>
      </c>
      <c r="K143" s="19">
        <v>10</v>
      </c>
      <c r="L143" s="19">
        <v>6.0000000000000002E-5</v>
      </c>
      <c r="M143" s="22">
        <v>43</v>
      </c>
      <c r="N143" s="5" t="s">
        <v>678</v>
      </c>
      <c r="O143" s="5">
        <v>2010</v>
      </c>
      <c r="P143" s="20" t="s">
        <v>743</v>
      </c>
    </row>
    <row r="144" spans="1:16" ht="136" x14ac:dyDescent="0.2">
      <c r="A144" s="15">
        <v>123</v>
      </c>
      <c r="B144" s="16" t="s">
        <v>587</v>
      </c>
      <c r="C144" s="24">
        <v>4.4000000000000003E-3</v>
      </c>
      <c r="D144" s="44" t="s">
        <v>966</v>
      </c>
      <c r="E144" s="24">
        <v>0.08</v>
      </c>
      <c r="F144" s="18">
        <v>5.6</v>
      </c>
      <c r="G144" s="19">
        <v>21</v>
      </c>
      <c r="H144" s="20" t="s">
        <v>489</v>
      </c>
      <c r="I144" s="5" t="s">
        <v>514</v>
      </c>
      <c r="J144" s="19" t="s">
        <v>469</v>
      </c>
      <c r="K144" s="19" t="s">
        <v>588</v>
      </c>
      <c r="L144" s="19" t="s">
        <v>586</v>
      </c>
      <c r="M144" s="22">
        <v>28</v>
      </c>
      <c r="N144" s="5" t="s">
        <v>560</v>
      </c>
      <c r="O144" s="5">
        <v>2004</v>
      </c>
      <c r="P144" s="20" t="s">
        <v>561</v>
      </c>
    </row>
    <row r="145" spans="1:16" x14ac:dyDescent="0.2">
      <c r="A145" s="15">
        <v>172</v>
      </c>
      <c r="B145" s="16" t="s">
        <v>698</v>
      </c>
      <c r="C145" s="7">
        <v>731.6</v>
      </c>
      <c r="D145" s="50" t="s">
        <v>1016</v>
      </c>
      <c r="E145" s="7">
        <f>15.5/182.9*C145</f>
        <v>62</v>
      </c>
      <c r="F145" s="18">
        <v>7</v>
      </c>
      <c r="G145" s="19" t="s">
        <v>476</v>
      </c>
      <c r="H145" s="20" t="s">
        <v>432</v>
      </c>
      <c r="I145" s="5" t="s">
        <v>325</v>
      </c>
      <c r="J145" s="19" t="s">
        <v>326</v>
      </c>
      <c r="K145" s="19">
        <v>5</v>
      </c>
      <c r="L145" s="19">
        <v>2.5000000000000001E-4</v>
      </c>
      <c r="M145" s="22">
        <v>40</v>
      </c>
      <c r="N145" s="5" t="s">
        <v>696</v>
      </c>
      <c r="O145" s="5">
        <v>2010</v>
      </c>
      <c r="P145" s="20" t="s">
        <v>697</v>
      </c>
    </row>
    <row r="146" spans="1:16" x14ac:dyDescent="0.2">
      <c r="A146" s="15">
        <v>182</v>
      </c>
      <c r="B146" s="16" t="s">
        <v>706</v>
      </c>
      <c r="C146" s="17">
        <v>30.92</v>
      </c>
      <c r="D146" s="48" t="s">
        <v>1016</v>
      </c>
      <c r="E146" s="17">
        <f>0.12/7.73*C146</f>
        <v>0.48</v>
      </c>
      <c r="F146" s="18">
        <v>7</v>
      </c>
      <c r="G146" s="19" t="s">
        <v>476</v>
      </c>
      <c r="H146" s="20" t="s">
        <v>432</v>
      </c>
      <c r="I146" s="5" t="s">
        <v>325</v>
      </c>
      <c r="J146" s="19" t="s">
        <v>326</v>
      </c>
      <c r="K146" s="19">
        <v>5</v>
      </c>
      <c r="L146" s="19">
        <v>2.5000000000000001E-4</v>
      </c>
      <c r="M146" s="22">
        <v>40</v>
      </c>
      <c r="N146" s="5" t="s">
        <v>696</v>
      </c>
      <c r="O146" s="5">
        <v>2010</v>
      </c>
      <c r="P146" s="20" t="s">
        <v>697</v>
      </c>
    </row>
    <row r="147" spans="1:16" ht="195" x14ac:dyDescent="0.2">
      <c r="A147" s="15">
        <v>289</v>
      </c>
      <c r="B147" s="16" t="s">
        <v>706</v>
      </c>
      <c r="C147" s="17">
        <v>12.71</v>
      </c>
      <c r="D147" s="48" t="s">
        <v>1025</v>
      </c>
      <c r="E147" s="17">
        <v>1.62</v>
      </c>
      <c r="F147" s="18">
        <v>7</v>
      </c>
      <c r="G147" s="19" t="s">
        <v>476</v>
      </c>
      <c r="H147" s="20" t="s">
        <v>547</v>
      </c>
      <c r="I147" s="5" t="s">
        <v>548</v>
      </c>
      <c r="J147" s="19" t="s">
        <v>469</v>
      </c>
      <c r="K147" s="19">
        <v>10</v>
      </c>
      <c r="L147" s="19">
        <v>4.0000000000000002E-4</v>
      </c>
      <c r="M147" s="22">
        <v>69</v>
      </c>
      <c r="N147" s="5" t="s">
        <v>859</v>
      </c>
      <c r="O147" s="5">
        <v>2018</v>
      </c>
      <c r="P147" s="20" t="s">
        <v>860</v>
      </c>
    </row>
    <row r="148" spans="1:16" x14ac:dyDescent="0.2">
      <c r="A148" s="15">
        <v>130</v>
      </c>
      <c r="B148" s="16" t="s">
        <v>607</v>
      </c>
      <c r="C148" s="24">
        <v>1.3200000000000001E-4</v>
      </c>
      <c r="D148" s="47" t="s">
        <v>970</v>
      </c>
      <c r="E148" s="24"/>
      <c r="F148" s="18">
        <v>7</v>
      </c>
      <c r="G148" s="19">
        <v>25</v>
      </c>
      <c r="H148" s="20" t="s">
        <v>608</v>
      </c>
      <c r="I148" s="5" t="s">
        <v>325</v>
      </c>
      <c r="J148" s="19" t="s">
        <v>326</v>
      </c>
      <c r="K148" s="19" t="s">
        <v>609</v>
      </c>
      <c r="L148" s="19" t="s">
        <v>610</v>
      </c>
      <c r="M148" s="22">
        <v>31</v>
      </c>
      <c r="N148" s="5" t="s">
        <v>611</v>
      </c>
      <c r="O148" s="5">
        <v>2006</v>
      </c>
      <c r="P148" s="20" t="s">
        <v>612</v>
      </c>
    </row>
    <row r="149" spans="1:16" ht="75" x14ac:dyDescent="0.2">
      <c r="A149" s="15">
        <v>44</v>
      </c>
      <c r="B149" s="16" t="s">
        <v>425</v>
      </c>
      <c r="C149" s="23">
        <v>4</v>
      </c>
      <c r="D149" s="46" t="s">
        <v>1026</v>
      </c>
      <c r="E149" s="23">
        <f>0.08*C149</f>
        <v>0.32</v>
      </c>
      <c r="F149" s="18" t="s">
        <v>121</v>
      </c>
      <c r="G149" s="19">
        <v>25</v>
      </c>
      <c r="H149" s="20" t="s">
        <v>391</v>
      </c>
      <c r="I149" s="5" t="s">
        <v>325</v>
      </c>
      <c r="J149" s="19" t="s">
        <v>392</v>
      </c>
      <c r="K149" s="19" t="s">
        <v>393</v>
      </c>
      <c r="L149" s="19" t="s">
        <v>393</v>
      </c>
      <c r="M149" s="22">
        <v>10</v>
      </c>
      <c r="N149" s="5" t="s">
        <v>426</v>
      </c>
      <c r="O149" s="5">
        <v>1977</v>
      </c>
      <c r="P149" s="20" t="s">
        <v>427</v>
      </c>
    </row>
    <row r="150" spans="1:16" ht="30" x14ac:dyDescent="0.2">
      <c r="A150" s="15">
        <v>291</v>
      </c>
      <c r="B150" s="16" t="s">
        <v>867</v>
      </c>
      <c r="C150" s="17">
        <v>20.55</v>
      </c>
      <c r="D150" s="48" t="s">
        <v>1036</v>
      </c>
      <c r="E150" s="17">
        <v>0.48</v>
      </c>
      <c r="F150" s="18">
        <v>7</v>
      </c>
      <c r="G150" s="19">
        <v>25</v>
      </c>
      <c r="H150" s="20" t="s">
        <v>868</v>
      </c>
      <c r="I150" s="5" t="s">
        <v>548</v>
      </c>
      <c r="J150" s="19" t="s">
        <v>469</v>
      </c>
      <c r="K150" s="19">
        <v>3</v>
      </c>
      <c r="L150" s="19">
        <v>6.0000000000000002E-5</v>
      </c>
      <c r="M150" s="22">
        <v>71</v>
      </c>
      <c r="N150" s="5" t="s">
        <v>826</v>
      </c>
      <c r="O150" s="5">
        <v>2018</v>
      </c>
      <c r="P150" s="20" t="s">
        <v>869</v>
      </c>
    </row>
    <row r="151" spans="1:16" x14ac:dyDescent="0.2">
      <c r="A151" s="15">
        <v>181</v>
      </c>
      <c r="B151" s="16" t="s">
        <v>705</v>
      </c>
      <c r="C151" s="17">
        <v>44.4</v>
      </c>
      <c r="D151" s="48" t="s">
        <v>1016</v>
      </c>
      <c r="E151" s="17">
        <f>4.62/11.1*C151</f>
        <v>18.48</v>
      </c>
      <c r="F151" s="18">
        <v>7</v>
      </c>
      <c r="G151" s="19" t="s">
        <v>476</v>
      </c>
      <c r="H151" s="20" t="s">
        <v>432</v>
      </c>
      <c r="I151" s="5" t="s">
        <v>325</v>
      </c>
      <c r="J151" s="19" t="s">
        <v>326</v>
      </c>
      <c r="K151" s="19">
        <v>5</v>
      </c>
      <c r="L151" s="19">
        <v>2.5000000000000001E-4</v>
      </c>
      <c r="M151" s="22">
        <v>40</v>
      </c>
      <c r="N151" s="5" t="s">
        <v>696</v>
      </c>
      <c r="O151" s="5">
        <v>2010</v>
      </c>
      <c r="P151" s="20" t="s">
        <v>697</v>
      </c>
    </row>
    <row r="152" spans="1:16" ht="136" x14ac:dyDescent="0.2">
      <c r="A152" s="15">
        <v>111</v>
      </c>
      <c r="B152" s="16" t="s">
        <v>557</v>
      </c>
      <c r="C152" s="26">
        <v>1.2E-2</v>
      </c>
      <c r="D152" s="44" t="s">
        <v>966</v>
      </c>
      <c r="E152" s="26">
        <v>0.01</v>
      </c>
      <c r="F152" s="18">
        <v>5.6</v>
      </c>
      <c r="G152" s="19">
        <v>21</v>
      </c>
      <c r="H152" s="20" t="s">
        <v>489</v>
      </c>
      <c r="I152" s="5" t="s">
        <v>514</v>
      </c>
      <c r="J152" s="19" t="s">
        <v>469</v>
      </c>
      <c r="K152" s="19" t="s">
        <v>558</v>
      </c>
      <c r="L152" s="19" t="s">
        <v>559</v>
      </c>
      <c r="M152" s="22">
        <v>28</v>
      </c>
      <c r="N152" s="5" t="s">
        <v>560</v>
      </c>
      <c r="O152" s="5">
        <v>2004</v>
      </c>
      <c r="P152" s="20" t="s">
        <v>561</v>
      </c>
    </row>
    <row r="153" spans="1:16" x14ac:dyDescent="0.2">
      <c r="A153" s="15">
        <v>14</v>
      </c>
      <c r="B153" s="16" t="s">
        <v>364</v>
      </c>
      <c r="C153" s="7">
        <v>490</v>
      </c>
      <c r="D153" s="50" t="s">
        <v>1012</v>
      </c>
      <c r="E153" s="7">
        <v>25</v>
      </c>
      <c r="F153" s="18">
        <v>6.5</v>
      </c>
      <c r="G153" s="19">
        <v>25</v>
      </c>
      <c r="H153" s="20" t="s">
        <v>340</v>
      </c>
      <c r="I153" s="5" t="s">
        <v>325</v>
      </c>
      <c r="J153" s="19" t="s">
        <v>326</v>
      </c>
      <c r="K153" s="19" t="s">
        <v>365</v>
      </c>
      <c r="L153" s="19" t="s">
        <v>366</v>
      </c>
      <c r="M153" s="22">
        <v>2</v>
      </c>
      <c r="N153" s="5" t="s">
        <v>327</v>
      </c>
      <c r="O153" s="5">
        <v>1966</v>
      </c>
      <c r="P153" s="20" t="s">
        <v>343</v>
      </c>
    </row>
    <row r="154" spans="1:16" x14ac:dyDescent="0.2">
      <c r="A154" s="15">
        <v>58</v>
      </c>
      <c r="B154" s="16" t="s">
        <v>364</v>
      </c>
      <c r="C154" s="7">
        <v>736</v>
      </c>
      <c r="D154" s="50" t="s">
        <v>999</v>
      </c>
      <c r="E154" s="7">
        <v>18</v>
      </c>
      <c r="F154" s="18">
        <v>11.3</v>
      </c>
      <c r="G154" s="19">
        <v>25</v>
      </c>
      <c r="H154" s="20" t="s">
        <v>443</v>
      </c>
      <c r="I154" s="5" t="s">
        <v>325</v>
      </c>
      <c r="J154" s="19" t="s">
        <v>326</v>
      </c>
      <c r="K154" s="19">
        <v>20</v>
      </c>
      <c r="L154" s="19">
        <v>7.6E-3</v>
      </c>
      <c r="M154" s="22">
        <v>12</v>
      </c>
      <c r="N154" s="5" t="s">
        <v>444</v>
      </c>
      <c r="O154" s="5">
        <v>1985</v>
      </c>
      <c r="P154" s="20" t="s">
        <v>445</v>
      </c>
    </row>
    <row r="155" spans="1:16" x14ac:dyDescent="0.2">
      <c r="A155" s="15">
        <v>192</v>
      </c>
      <c r="B155" s="16" t="s">
        <v>715</v>
      </c>
      <c r="C155" s="23">
        <v>1.36</v>
      </c>
      <c r="D155" s="46" t="s">
        <v>1016</v>
      </c>
      <c r="E155" s="23">
        <f>0.07/0.34*C155</f>
        <v>0.28000000000000003</v>
      </c>
      <c r="F155" s="18">
        <v>7</v>
      </c>
      <c r="G155" s="19" t="s">
        <v>476</v>
      </c>
      <c r="H155" s="20" t="s">
        <v>432</v>
      </c>
      <c r="I155" s="5" t="s">
        <v>325</v>
      </c>
      <c r="J155" s="19" t="s">
        <v>326</v>
      </c>
      <c r="K155" s="19">
        <v>5</v>
      </c>
      <c r="L155" s="19">
        <v>2.5000000000000001E-4</v>
      </c>
      <c r="M155" s="22">
        <v>40</v>
      </c>
      <c r="N155" s="5" t="s">
        <v>696</v>
      </c>
      <c r="O155" s="5">
        <v>2010</v>
      </c>
      <c r="P155" s="20" t="s">
        <v>697</v>
      </c>
    </row>
    <row r="156" spans="1:16" x14ac:dyDescent="0.2">
      <c r="A156" s="15">
        <v>213</v>
      </c>
      <c r="B156" s="16" t="s">
        <v>715</v>
      </c>
      <c r="C156" s="23">
        <v>0.61</v>
      </c>
      <c r="D156" s="46" t="s">
        <v>1021</v>
      </c>
      <c r="E156" s="23">
        <v>0.02</v>
      </c>
      <c r="F156" s="18">
        <v>7</v>
      </c>
      <c r="G156" s="19">
        <v>25</v>
      </c>
      <c r="H156" s="20" t="s">
        <v>670</v>
      </c>
      <c r="I156" s="5" t="s">
        <v>548</v>
      </c>
      <c r="J156" s="19" t="s">
        <v>469</v>
      </c>
      <c r="K156" s="19" t="s">
        <v>736</v>
      </c>
      <c r="L156" s="19" t="s">
        <v>737</v>
      </c>
      <c r="M156" s="22">
        <v>42</v>
      </c>
      <c r="N156" s="5" t="s">
        <v>672</v>
      </c>
      <c r="O156" s="5">
        <v>2010</v>
      </c>
      <c r="P156" s="20" t="s">
        <v>738</v>
      </c>
    </row>
    <row r="157" spans="1:16" ht="30" x14ac:dyDescent="0.2">
      <c r="A157" s="15">
        <v>331</v>
      </c>
      <c r="B157" s="16" t="s">
        <v>715</v>
      </c>
      <c r="C157" s="19">
        <f>AVERAGE(0.93,0.99)</f>
        <v>0.96</v>
      </c>
      <c r="D157" s="51" t="s">
        <v>1037</v>
      </c>
      <c r="E157" s="23">
        <f>STDEV(0.93,0.99)</f>
        <v>4.2426406871192812E-2</v>
      </c>
      <c r="F157" s="18" t="s">
        <v>958</v>
      </c>
      <c r="G157" s="19">
        <v>25</v>
      </c>
      <c r="H157" s="20" t="s">
        <v>959</v>
      </c>
      <c r="I157" s="34" t="s">
        <v>548</v>
      </c>
      <c r="J157" s="19" t="s">
        <v>469</v>
      </c>
      <c r="K157" s="19">
        <v>10</v>
      </c>
      <c r="L157" s="19">
        <v>5.0000000000000002E-5</v>
      </c>
      <c r="M157" s="22">
        <v>88</v>
      </c>
      <c r="N157" s="5" t="s">
        <v>960</v>
      </c>
      <c r="O157" s="5">
        <v>2021</v>
      </c>
      <c r="P157" s="20" t="s">
        <v>961</v>
      </c>
    </row>
    <row r="158" spans="1:16" x14ac:dyDescent="0.2">
      <c r="A158" s="15">
        <v>77</v>
      </c>
      <c r="B158" s="16" t="s">
        <v>487</v>
      </c>
      <c r="C158" s="23">
        <f>0.00092/0.001</f>
        <v>0.92</v>
      </c>
      <c r="D158" s="46" t="s">
        <v>967</v>
      </c>
      <c r="E158" s="23">
        <f>0.5/9.2*C158</f>
        <v>5.000000000000001E-2</v>
      </c>
      <c r="F158" s="18">
        <v>7.1</v>
      </c>
      <c r="G158" s="19">
        <v>21</v>
      </c>
      <c r="H158" s="20" t="s">
        <v>484</v>
      </c>
      <c r="I158" s="5" t="s">
        <v>478</v>
      </c>
      <c r="J158" s="19" t="s">
        <v>469</v>
      </c>
      <c r="K158" s="19" t="s">
        <v>485</v>
      </c>
      <c r="L158" s="19">
        <v>1E-3</v>
      </c>
      <c r="M158" s="22">
        <v>17</v>
      </c>
      <c r="N158" s="5" t="s">
        <v>481</v>
      </c>
      <c r="O158" s="5">
        <v>1999</v>
      </c>
      <c r="P158" s="20" t="s">
        <v>486</v>
      </c>
    </row>
    <row r="159" spans="1:16" x14ac:dyDescent="0.2">
      <c r="A159" s="15">
        <v>98</v>
      </c>
      <c r="B159" s="16" t="s">
        <v>487</v>
      </c>
      <c r="C159" s="23">
        <v>1.52</v>
      </c>
      <c r="D159" s="46" t="s">
        <v>968</v>
      </c>
      <c r="E159" s="23">
        <v>0.05</v>
      </c>
      <c r="F159" s="18">
        <v>7</v>
      </c>
      <c r="G159" s="19">
        <v>20</v>
      </c>
      <c r="H159" s="20" t="s">
        <v>432</v>
      </c>
      <c r="I159" s="5" t="s">
        <v>514</v>
      </c>
      <c r="J159" s="19" t="s">
        <v>469</v>
      </c>
      <c r="K159" s="19" t="s">
        <v>520</v>
      </c>
      <c r="L159" s="19" t="s">
        <v>521</v>
      </c>
      <c r="M159" s="22">
        <v>22</v>
      </c>
      <c r="N159" s="5" t="s">
        <v>517</v>
      </c>
      <c r="O159" s="5">
        <v>2001</v>
      </c>
      <c r="P159" s="20" t="s">
        <v>518</v>
      </c>
    </row>
    <row r="160" spans="1:16" x14ac:dyDescent="0.2">
      <c r="A160" s="15">
        <v>104</v>
      </c>
      <c r="B160" s="16" t="s">
        <v>487</v>
      </c>
      <c r="C160" s="23">
        <f>0.00266/(0.37/158)</f>
        <v>1.1358918918918919</v>
      </c>
      <c r="D160" s="46" t="s">
        <v>970</v>
      </c>
      <c r="E160" s="23"/>
      <c r="F160" s="18">
        <v>5.6</v>
      </c>
      <c r="G160" s="19">
        <v>23</v>
      </c>
      <c r="H160" s="20" t="s">
        <v>489</v>
      </c>
      <c r="I160" s="5" t="s">
        <v>530</v>
      </c>
      <c r="J160" s="19" t="s">
        <v>469</v>
      </c>
      <c r="K160" s="19">
        <v>4.7</v>
      </c>
      <c r="L160" s="19">
        <v>2.3E-3</v>
      </c>
      <c r="M160" s="22">
        <v>24</v>
      </c>
      <c r="N160" s="5" t="s">
        <v>533</v>
      </c>
      <c r="O160" s="5">
        <v>2002</v>
      </c>
      <c r="P160" s="20" t="s">
        <v>534</v>
      </c>
    </row>
    <row r="161" spans="1:16" ht="30" x14ac:dyDescent="0.2">
      <c r="A161" s="15">
        <v>133</v>
      </c>
      <c r="B161" s="16" t="s">
        <v>487</v>
      </c>
      <c r="C161" s="23">
        <v>0.71</v>
      </c>
      <c r="D161" s="46" t="s">
        <v>990</v>
      </c>
      <c r="E161" s="23">
        <v>0.06</v>
      </c>
      <c r="F161" s="30">
        <v>7</v>
      </c>
      <c r="G161" s="7">
        <v>25</v>
      </c>
      <c r="H161" s="31" t="s">
        <v>432</v>
      </c>
      <c r="I161" s="5" t="s">
        <v>325</v>
      </c>
      <c r="J161" s="19" t="s">
        <v>326</v>
      </c>
      <c r="K161" s="19" t="s">
        <v>613</v>
      </c>
      <c r="L161" s="19" t="s">
        <v>614</v>
      </c>
      <c r="M161" s="22">
        <v>31</v>
      </c>
      <c r="N161" s="5" t="s">
        <v>611</v>
      </c>
      <c r="O161" s="5">
        <v>2006</v>
      </c>
      <c r="P161" s="20" t="s">
        <v>612</v>
      </c>
    </row>
    <row r="162" spans="1:16" x14ac:dyDescent="0.2">
      <c r="A162" s="15">
        <v>188</v>
      </c>
      <c r="B162" s="16" t="s">
        <v>711</v>
      </c>
      <c r="C162" s="23">
        <v>2.4</v>
      </c>
      <c r="D162" s="46" t="s">
        <v>1016</v>
      </c>
      <c r="E162" s="23">
        <f>0.04/0.6*C162</f>
        <v>0.16</v>
      </c>
      <c r="F162" s="18">
        <v>7</v>
      </c>
      <c r="G162" s="19" t="s">
        <v>476</v>
      </c>
      <c r="H162" s="20" t="s">
        <v>432</v>
      </c>
      <c r="I162" s="5" t="s">
        <v>325</v>
      </c>
      <c r="J162" s="19" t="s">
        <v>326</v>
      </c>
      <c r="K162" s="19">
        <v>5</v>
      </c>
      <c r="L162" s="19">
        <v>2.5000000000000001E-4</v>
      </c>
      <c r="M162" s="22">
        <v>40</v>
      </c>
      <c r="N162" s="5" t="s">
        <v>696</v>
      </c>
      <c r="O162" s="5">
        <v>2010</v>
      </c>
      <c r="P162" s="20" t="s">
        <v>697</v>
      </c>
    </row>
    <row r="163" spans="1:16" x14ac:dyDescent="0.2">
      <c r="A163" s="15">
        <v>200</v>
      </c>
      <c r="B163" s="16" t="s">
        <v>723</v>
      </c>
      <c r="C163" s="23">
        <v>0.8</v>
      </c>
      <c r="D163" s="46" t="s">
        <v>1016</v>
      </c>
      <c r="E163" s="23">
        <f>0.15/0.2*C163</f>
        <v>0.6</v>
      </c>
      <c r="F163" s="18">
        <v>7</v>
      </c>
      <c r="G163" s="19" t="s">
        <v>476</v>
      </c>
      <c r="H163" s="20" t="s">
        <v>432</v>
      </c>
      <c r="I163" s="5" t="s">
        <v>325</v>
      </c>
      <c r="J163" s="19" t="s">
        <v>326</v>
      </c>
      <c r="K163" s="19">
        <v>5</v>
      </c>
      <c r="L163" s="19">
        <v>2.5000000000000001E-4</v>
      </c>
      <c r="M163" s="22">
        <v>40</v>
      </c>
      <c r="N163" s="5" t="s">
        <v>696</v>
      </c>
      <c r="O163" s="5">
        <v>2010</v>
      </c>
      <c r="P163" s="20" t="s">
        <v>697</v>
      </c>
    </row>
    <row r="164" spans="1:16" x14ac:dyDescent="0.2">
      <c r="A164" s="15">
        <v>8</v>
      </c>
      <c r="B164" s="16" t="s">
        <v>348</v>
      </c>
      <c r="C164" s="7">
        <v>232</v>
      </c>
      <c r="D164" s="50" t="s">
        <v>1013</v>
      </c>
      <c r="E164" s="7">
        <v>11</v>
      </c>
      <c r="F164" s="18">
        <v>6.5</v>
      </c>
      <c r="G164" s="19">
        <v>25</v>
      </c>
      <c r="H164" s="20" t="s">
        <v>340</v>
      </c>
      <c r="I164" s="5" t="s">
        <v>325</v>
      </c>
      <c r="J164" s="19" t="s">
        <v>326</v>
      </c>
      <c r="K164" s="19" t="s">
        <v>341</v>
      </c>
      <c r="L164" s="19" t="s">
        <v>342</v>
      </c>
      <c r="M164" s="22">
        <v>2</v>
      </c>
      <c r="N164" s="5" t="s">
        <v>327</v>
      </c>
      <c r="O164" s="5">
        <v>1966</v>
      </c>
      <c r="P164" s="20" t="s">
        <v>343</v>
      </c>
    </row>
    <row r="165" spans="1:16" x14ac:dyDescent="0.2">
      <c r="A165" s="15">
        <v>19</v>
      </c>
      <c r="B165" s="16" t="s">
        <v>375</v>
      </c>
      <c r="C165" s="24">
        <v>1.8799999999999999E-3</v>
      </c>
      <c r="D165" s="47" t="s">
        <v>970</v>
      </c>
      <c r="E165" s="24"/>
      <c r="F165" s="18">
        <v>4.5999999999999996</v>
      </c>
      <c r="G165" s="19">
        <v>20</v>
      </c>
      <c r="H165" s="20" t="s">
        <v>376</v>
      </c>
      <c r="I165" s="5" t="s">
        <v>377</v>
      </c>
      <c r="J165" s="19" t="s">
        <v>326</v>
      </c>
      <c r="K165" s="19">
        <v>18</v>
      </c>
      <c r="L165" s="19">
        <v>0.16600000000000001</v>
      </c>
      <c r="M165" s="22">
        <v>3</v>
      </c>
      <c r="N165" s="5" t="s">
        <v>378</v>
      </c>
      <c r="O165" s="5">
        <v>1967</v>
      </c>
      <c r="P165" s="20" t="s">
        <v>379</v>
      </c>
    </row>
    <row r="166" spans="1:16" x14ac:dyDescent="0.2">
      <c r="A166" s="15">
        <v>158</v>
      </c>
      <c r="B166" s="16" t="s">
        <v>662</v>
      </c>
      <c r="C166" s="23">
        <v>0.3</v>
      </c>
      <c r="D166" s="46" t="s">
        <v>970</v>
      </c>
      <c r="E166" s="23"/>
      <c r="F166" s="18">
        <v>7</v>
      </c>
      <c r="G166" s="19">
        <v>20</v>
      </c>
      <c r="H166" s="20" t="s">
        <v>547</v>
      </c>
      <c r="I166" s="5" t="s">
        <v>548</v>
      </c>
      <c r="J166" s="19" t="s">
        <v>469</v>
      </c>
      <c r="K166" s="19" t="s">
        <v>663</v>
      </c>
      <c r="L166" s="19" t="s">
        <v>664</v>
      </c>
      <c r="M166" s="22">
        <v>34</v>
      </c>
      <c r="N166" s="5" t="s">
        <v>651</v>
      </c>
      <c r="O166" s="5">
        <v>2007</v>
      </c>
      <c r="P166" s="20" t="s">
        <v>665</v>
      </c>
    </row>
    <row r="167" spans="1:16" x14ac:dyDescent="0.2">
      <c r="A167" s="15">
        <v>294</v>
      </c>
      <c r="B167" s="16" t="s">
        <v>662</v>
      </c>
      <c r="C167" s="23">
        <v>0.26</v>
      </c>
      <c r="D167" s="46" t="s">
        <v>971</v>
      </c>
      <c r="E167" s="23">
        <v>0.05</v>
      </c>
      <c r="F167" s="18">
        <v>5.6</v>
      </c>
      <c r="G167" s="19">
        <v>23</v>
      </c>
      <c r="H167" s="20" t="s">
        <v>489</v>
      </c>
      <c r="I167" s="5" t="s">
        <v>548</v>
      </c>
      <c r="J167" s="19" t="s">
        <v>469</v>
      </c>
      <c r="K167" s="19" t="s">
        <v>877</v>
      </c>
      <c r="L167" s="19" t="s">
        <v>878</v>
      </c>
      <c r="M167" s="22">
        <v>73</v>
      </c>
      <c r="N167" s="5" t="s">
        <v>875</v>
      </c>
      <c r="O167" s="5">
        <v>2019</v>
      </c>
      <c r="P167" s="20" t="s">
        <v>876</v>
      </c>
    </row>
    <row r="168" spans="1:16" x14ac:dyDescent="0.2">
      <c r="A168" s="15">
        <v>176</v>
      </c>
      <c r="B168" s="16" t="s">
        <v>700</v>
      </c>
      <c r="C168" s="7">
        <v>105.2</v>
      </c>
      <c r="D168" s="50" t="s">
        <v>1016</v>
      </c>
      <c r="E168" s="7">
        <f>1.67/26.3*C168</f>
        <v>6.6799999999999988</v>
      </c>
      <c r="F168" s="18">
        <v>7</v>
      </c>
      <c r="G168" s="19" t="s">
        <v>476</v>
      </c>
      <c r="H168" s="20" t="s">
        <v>432</v>
      </c>
      <c r="I168" s="5" t="s">
        <v>325</v>
      </c>
      <c r="J168" s="19" t="s">
        <v>326</v>
      </c>
      <c r="K168" s="19">
        <v>5</v>
      </c>
      <c r="L168" s="19">
        <v>2.5000000000000001E-4</v>
      </c>
      <c r="M168" s="22">
        <v>40</v>
      </c>
      <c r="N168" s="5" t="s">
        <v>696</v>
      </c>
      <c r="O168" s="5">
        <v>2010</v>
      </c>
      <c r="P168" s="20" t="s">
        <v>697</v>
      </c>
    </row>
    <row r="169" spans="1:16" x14ac:dyDescent="0.2">
      <c r="A169" s="15">
        <v>127</v>
      </c>
      <c r="B169" s="16" t="s">
        <v>597</v>
      </c>
      <c r="C169" s="19" t="s">
        <v>594</v>
      </c>
      <c r="D169" s="51" t="s">
        <v>970</v>
      </c>
      <c r="E169" s="19"/>
      <c r="F169" s="18">
        <v>5.6</v>
      </c>
      <c r="G169" s="19">
        <v>21</v>
      </c>
      <c r="H169" s="20" t="s">
        <v>489</v>
      </c>
      <c r="I169" s="5" t="s">
        <v>514</v>
      </c>
      <c r="J169" s="19" t="s">
        <v>469</v>
      </c>
      <c r="K169" s="19" t="s">
        <v>598</v>
      </c>
      <c r="L169" s="19" t="s">
        <v>596</v>
      </c>
      <c r="M169" s="22">
        <v>28</v>
      </c>
      <c r="N169" s="5" t="s">
        <v>560</v>
      </c>
      <c r="O169" s="5">
        <v>2004</v>
      </c>
      <c r="P169" s="20" t="s">
        <v>561</v>
      </c>
    </row>
    <row r="170" spans="1:16" ht="75" x14ac:dyDescent="0.2">
      <c r="A170" s="15">
        <v>47</v>
      </c>
      <c r="B170" s="16" t="s">
        <v>430</v>
      </c>
      <c r="C170" s="26">
        <v>3.6999999999999998E-2</v>
      </c>
      <c r="D170" s="49" t="s">
        <v>1026</v>
      </c>
      <c r="E170" s="26">
        <f>0.08*C170</f>
        <v>2.96E-3</v>
      </c>
      <c r="F170" s="18" t="s">
        <v>142</v>
      </c>
      <c r="G170" s="19">
        <v>25</v>
      </c>
      <c r="H170" s="20" t="s">
        <v>391</v>
      </c>
      <c r="I170" s="5" t="s">
        <v>325</v>
      </c>
      <c r="J170" s="19" t="s">
        <v>392</v>
      </c>
      <c r="K170" s="19" t="s">
        <v>393</v>
      </c>
      <c r="L170" s="19" t="s">
        <v>393</v>
      </c>
      <c r="M170" s="22">
        <v>10</v>
      </c>
      <c r="N170" s="5" t="s">
        <v>426</v>
      </c>
      <c r="O170" s="5">
        <v>1977</v>
      </c>
      <c r="P170" s="20" t="s">
        <v>427</v>
      </c>
    </row>
    <row r="171" spans="1:16" ht="75" x14ac:dyDescent="0.2">
      <c r="A171" s="15">
        <v>45</v>
      </c>
      <c r="B171" s="16" t="s">
        <v>428</v>
      </c>
      <c r="C171" s="23">
        <v>3.7</v>
      </c>
      <c r="D171" s="46" t="s">
        <v>1026</v>
      </c>
      <c r="E171" s="23">
        <f>0.08*C171</f>
        <v>0.29600000000000004</v>
      </c>
      <c r="F171" s="18" t="s">
        <v>144</v>
      </c>
      <c r="G171" s="19">
        <v>25</v>
      </c>
      <c r="H171" s="20" t="s">
        <v>391</v>
      </c>
      <c r="I171" s="5" t="s">
        <v>325</v>
      </c>
      <c r="J171" s="19" t="s">
        <v>392</v>
      </c>
      <c r="K171" s="19" t="s">
        <v>393</v>
      </c>
      <c r="L171" s="19" t="s">
        <v>393</v>
      </c>
      <c r="M171" s="22">
        <v>10</v>
      </c>
      <c r="N171" s="5" t="s">
        <v>426</v>
      </c>
      <c r="O171" s="5">
        <v>1977</v>
      </c>
      <c r="P171" s="20" t="s">
        <v>427</v>
      </c>
    </row>
    <row r="172" spans="1:16" ht="30" x14ac:dyDescent="0.2">
      <c r="A172" s="15">
        <v>151</v>
      </c>
      <c r="B172" s="16" t="s">
        <v>646</v>
      </c>
      <c r="C172" s="17">
        <v>15.7</v>
      </c>
      <c r="D172" s="48" t="s">
        <v>989</v>
      </c>
      <c r="E172" s="17">
        <v>0.4</v>
      </c>
      <c r="F172" s="30">
        <v>7</v>
      </c>
      <c r="G172" s="7">
        <v>25</v>
      </c>
      <c r="H172" s="20" t="s">
        <v>432</v>
      </c>
      <c r="I172" s="5" t="s">
        <v>325</v>
      </c>
      <c r="J172" s="19" t="s">
        <v>326</v>
      </c>
      <c r="K172" s="19" t="s">
        <v>613</v>
      </c>
      <c r="L172" s="19" t="s">
        <v>369</v>
      </c>
      <c r="M172" s="22">
        <v>31</v>
      </c>
      <c r="N172" s="5" t="s">
        <v>611</v>
      </c>
      <c r="O172" s="5">
        <v>2006</v>
      </c>
      <c r="P172" s="20" t="s">
        <v>612</v>
      </c>
    </row>
    <row r="173" spans="1:16" ht="30" x14ac:dyDescent="0.2">
      <c r="A173" s="15">
        <v>164</v>
      </c>
      <c r="B173" s="16" t="s">
        <v>646</v>
      </c>
      <c r="C173" s="17">
        <v>25.2</v>
      </c>
      <c r="D173" s="48" t="s">
        <v>1038</v>
      </c>
      <c r="E173" s="17">
        <v>0.4</v>
      </c>
      <c r="F173" s="18">
        <v>7</v>
      </c>
      <c r="G173" s="19">
        <v>25</v>
      </c>
      <c r="H173" s="20" t="s">
        <v>432</v>
      </c>
      <c r="I173" s="5" t="s">
        <v>530</v>
      </c>
      <c r="J173" s="19" t="s">
        <v>469</v>
      </c>
      <c r="K173" s="19" t="s">
        <v>680</v>
      </c>
      <c r="L173" s="19" t="s">
        <v>677</v>
      </c>
      <c r="M173" s="22">
        <v>38</v>
      </c>
      <c r="N173" s="5" t="s">
        <v>681</v>
      </c>
      <c r="O173" s="5">
        <v>2010</v>
      </c>
      <c r="P173" s="20" t="s">
        <v>682</v>
      </c>
    </row>
    <row r="174" spans="1:16" x14ac:dyDescent="0.2">
      <c r="A174" s="15">
        <v>187</v>
      </c>
      <c r="B174" s="16" t="s">
        <v>710</v>
      </c>
      <c r="C174" s="23">
        <v>2.6</v>
      </c>
      <c r="D174" s="46" t="s">
        <v>1016</v>
      </c>
      <c r="E174" s="23">
        <f>0.03/0.65*C174</f>
        <v>0.12</v>
      </c>
      <c r="F174" s="18">
        <v>7</v>
      </c>
      <c r="G174" s="19" t="s">
        <v>476</v>
      </c>
      <c r="H174" s="20" t="s">
        <v>432</v>
      </c>
      <c r="I174" s="5" t="s">
        <v>325</v>
      </c>
      <c r="J174" s="19" t="s">
        <v>326</v>
      </c>
      <c r="K174" s="19">
        <v>5</v>
      </c>
      <c r="L174" s="19">
        <v>2.5000000000000001E-4</v>
      </c>
      <c r="M174" s="22">
        <v>40</v>
      </c>
      <c r="N174" s="5" t="s">
        <v>696</v>
      </c>
      <c r="O174" s="5">
        <v>2010</v>
      </c>
      <c r="P174" s="20" t="s">
        <v>697</v>
      </c>
    </row>
    <row r="175" spans="1:16" ht="30" x14ac:dyDescent="0.2">
      <c r="A175" s="15">
        <v>248</v>
      </c>
      <c r="B175" s="16" t="s">
        <v>710</v>
      </c>
      <c r="C175" s="23">
        <f>10^AVERAGE(0.37,0.29,0.41)</f>
        <v>2.2733518989206303</v>
      </c>
      <c r="D175" s="46" t="s">
        <v>1018</v>
      </c>
      <c r="E175" s="23">
        <f>STDEV(0.37,0.29,0.41)/AVERAGE(0.37,0.29,0.41)*C175</f>
        <v>0.38945073488132459</v>
      </c>
      <c r="F175" s="18">
        <v>7</v>
      </c>
      <c r="G175" s="19">
        <v>20</v>
      </c>
      <c r="H175" s="20" t="s">
        <v>786</v>
      </c>
      <c r="I175" s="5" t="s">
        <v>683</v>
      </c>
      <c r="J175" s="19" t="s">
        <v>469</v>
      </c>
      <c r="K175" s="7">
        <f>L175/(0.0002/318.1)</f>
        <v>11.073101265822785</v>
      </c>
      <c r="L175" s="33">
        <f>0.0011/158</f>
        <v>6.9620253164556965E-6</v>
      </c>
      <c r="M175" s="22">
        <v>51</v>
      </c>
      <c r="N175" s="5" t="s">
        <v>787</v>
      </c>
      <c r="O175" s="5">
        <v>2013</v>
      </c>
      <c r="P175" s="20" t="s">
        <v>788</v>
      </c>
    </row>
    <row r="176" spans="1:16" ht="30" x14ac:dyDescent="0.2">
      <c r="A176" s="15">
        <v>261</v>
      </c>
      <c r="B176" s="16" t="s">
        <v>710</v>
      </c>
      <c r="C176" s="23">
        <v>1.57</v>
      </c>
      <c r="D176" s="46" t="s">
        <v>1039</v>
      </c>
      <c r="E176" s="23">
        <v>0.02</v>
      </c>
      <c r="F176" s="18">
        <v>7</v>
      </c>
      <c r="G176" s="19">
        <v>20</v>
      </c>
      <c r="H176" s="20" t="s">
        <v>789</v>
      </c>
      <c r="I176" s="5" t="s">
        <v>548</v>
      </c>
      <c r="J176" s="19" t="s">
        <v>469</v>
      </c>
      <c r="K176" s="19" t="s">
        <v>813</v>
      </c>
      <c r="L176" s="19" t="s">
        <v>814</v>
      </c>
      <c r="M176" s="22">
        <v>57</v>
      </c>
      <c r="N176" s="5" t="s">
        <v>815</v>
      </c>
      <c r="O176" s="5">
        <v>2015</v>
      </c>
      <c r="P176" s="20" t="s">
        <v>816</v>
      </c>
    </row>
    <row r="177" spans="1:16" x14ac:dyDescent="0.2">
      <c r="A177" s="15">
        <v>24</v>
      </c>
      <c r="B177" s="16" t="s">
        <v>384</v>
      </c>
      <c r="C177" s="24">
        <v>8.9999999999999998E-4</v>
      </c>
      <c r="D177" s="47" t="s">
        <v>970</v>
      </c>
      <c r="E177" s="24"/>
      <c r="F177" s="18">
        <v>4.5999999999999996</v>
      </c>
      <c r="G177" s="19">
        <v>20</v>
      </c>
      <c r="H177" s="20" t="s">
        <v>376</v>
      </c>
      <c r="I177" s="5" t="s">
        <v>377</v>
      </c>
      <c r="J177" s="19" t="s">
        <v>326</v>
      </c>
      <c r="K177" s="19">
        <v>3.9</v>
      </c>
      <c r="L177" s="19">
        <v>3.5999999999999997E-2</v>
      </c>
      <c r="M177" s="22">
        <v>3</v>
      </c>
      <c r="N177" s="5" t="s">
        <v>378</v>
      </c>
      <c r="O177" s="5">
        <v>1967</v>
      </c>
      <c r="P177" s="20" t="s">
        <v>379</v>
      </c>
    </row>
    <row r="178" spans="1:16" x14ac:dyDescent="0.2">
      <c r="A178" s="15">
        <v>202</v>
      </c>
      <c r="B178" s="16" t="s">
        <v>725</v>
      </c>
      <c r="C178" s="23">
        <v>0.6</v>
      </c>
      <c r="D178" s="46" t="s">
        <v>1016</v>
      </c>
      <c r="E178" s="23">
        <f>0.02/0.15*C178</f>
        <v>0.08</v>
      </c>
      <c r="F178" s="18">
        <v>7</v>
      </c>
      <c r="G178" s="19" t="s">
        <v>476</v>
      </c>
      <c r="H178" s="20" t="s">
        <v>432</v>
      </c>
      <c r="I178" s="5" t="s">
        <v>325</v>
      </c>
      <c r="J178" s="19" t="s">
        <v>326</v>
      </c>
      <c r="K178" s="19">
        <v>5</v>
      </c>
      <c r="L178" s="19">
        <v>2.5000000000000001E-4</v>
      </c>
      <c r="M178" s="22">
        <v>40</v>
      </c>
      <c r="N178" s="5" t="s">
        <v>696</v>
      </c>
      <c r="O178" s="5">
        <v>2010</v>
      </c>
      <c r="P178" s="20" t="s">
        <v>697</v>
      </c>
    </row>
    <row r="179" spans="1:16" ht="120" x14ac:dyDescent="0.2">
      <c r="A179" s="15">
        <v>35</v>
      </c>
      <c r="B179" s="16" t="s">
        <v>408</v>
      </c>
      <c r="C179" s="17">
        <v>54</v>
      </c>
      <c r="D179" s="48" t="s">
        <v>1029</v>
      </c>
      <c r="E179" s="17">
        <f>0.08*C179</f>
        <v>4.32</v>
      </c>
      <c r="F179" s="18" t="s">
        <v>151</v>
      </c>
      <c r="G179" s="19">
        <v>25</v>
      </c>
      <c r="H179" s="20" t="s">
        <v>404</v>
      </c>
      <c r="I179" s="5" t="s">
        <v>325</v>
      </c>
      <c r="J179" s="19" t="s">
        <v>392</v>
      </c>
      <c r="K179" s="19" t="s">
        <v>393</v>
      </c>
      <c r="L179" s="19" t="s">
        <v>393</v>
      </c>
      <c r="M179" s="25">
        <v>7</v>
      </c>
      <c r="N179" s="5" t="s">
        <v>405</v>
      </c>
      <c r="O179" s="5">
        <v>1976</v>
      </c>
      <c r="P179" s="20" t="s">
        <v>406</v>
      </c>
    </row>
    <row r="180" spans="1:16" x14ac:dyDescent="0.2">
      <c r="A180" s="15">
        <v>21</v>
      </c>
      <c r="B180" s="16" t="s">
        <v>381</v>
      </c>
      <c r="C180" s="24">
        <v>3.0899999999999999E-5</v>
      </c>
      <c r="D180" s="47" t="s">
        <v>970</v>
      </c>
      <c r="E180" s="24"/>
      <c r="F180" s="18">
        <v>4.5999999999999996</v>
      </c>
      <c r="G180" s="19">
        <v>20</v>
      </c>
      <c r="H180" s="20" t="s">
        <v>376</v>
      </c>
      <c r="I180" s="5" t="s">
        <v>377</v>
      </c>
      <c r="J180" s="19" t="s">
        <v>326</v>
      </c>
      <c r="K180" s="19">
        <v>127</v>
      </c>
      <c r="L180" s="19">
        <v>1.17</v>
      </c>
      <c r="M180" s="22">
        <v>3</v>
      </c>
      <c r="N180" s="5" t="s">
        <v>378</v>
      </c>
      <c r="O180" s="5">
        <v>1967</v>
      </c>
      <c r="P180" s="20" t="s">
        <v>379</v>
      </c>
    </row>
    <row r="181" spans="1:16" x14ac:dyDescent="0.2">
      <c r="A181" s="15">
        <v>189</v>
      </c>
      <c r="B181" s="16" t="s">
        <v>712</v>
      </c>
      <c r="C181" s="23">
        <v>2.04</v>
      </c>
      <c r="D181" s="46" t="s">
        <v>1016</v>
      </c>
      <c r="E181" s="23">
        <f>0.03/0.51*C181</f>
        <v>0.12</v>
      </c>
      <c r="F181" s="18">
        <v>7</v>
      </c>
      <c r="G181" s="19" t="s">
        <v>476</v>
      </c>
      <c r="H181" s="20" t="s">
        <v>432</v>
      </c>
      <c r="I181" s="5" t="s">
        <v>325</v>
      </c>
      <c r="J181" s="19" t="s">
        <v>326</v>
      </c>
      <c r="K181" s="19">
        <v>5</v>
      </c>
      <c r="L181" s="19">
        <v>2.5000000000000001E-4</v>
      </c>
      <c r="M181" s="22">
        <v>40</v>
      </c>
      <c r="N181" s="5" t="s">
        <v>696</v>
      </c>
      <c r="O181" s="5">
        <v>2010</v>
      </c>
      <c r="P181" s="20" t="s">
        <v>697</v>
      </c>
    </row>
    <row r="182" spans="1:16" ht="75" x14ac:dyDescent="0.2">
      <c r="A182" s="15">
        <v>265</v>
      </c>
      <c r="B182" s="16" t="s">
        <v>712</v>
      </c>
      <c r="C182" s="23">
        <v>0.63</v>
      </c>
      <c r="D182" s="46" t="s">
        <v>1040</v>
      </c>
      <c r="E182" s="23">
        <v>0.3</v>
      </c>
      <c r="F182" s="18">
        <v>7</v>
      </c>
      <c r="G182" s="19">
        <v>21</v>
      </c>
      <c r="H182" s="20" t="s">
        <v>823</v>
      </c>
      <c r="I182" s="5" t="s">
        <v>765</v>
      </c>
      <c r="J182" s="19" t="s">
        <v>469</v>
      </c>
      <c r="K182" s="19" t="s">
        <v>824</v>
      </c>
      <c r="L182" s="19" t="s">
        <v>825</v>
      </c>
      <c r="M182" s="22">
        <v>61</v>
      </c>
      <c r="N182" s="5" t="s">
        <v>826</v>
      </c>
      <c r="O182" s="5">
        <v>2016</v>
      </c>
      <c r="P182" s="20" t="s">
        <v>827</v>
      </c>
    </row>
    <row r="183" spans="1:16" ht="30" x14ac:dyDescent="0.2">
      <c r="A183" s="15">
        <v>330</v>
      </c>
      <c r="B183" s="16" t="s">
        <v>712</v>
      </c>
      <c r="C183" s="23">
        <f>AVERAGE(1.23,1.06)</f>
        <v>1.145</v>
      </c>
      <c r="D183" s="46" t="s">
        <v>1037</v>
      </c>
      <c r="E183" s="23">
        <f>STDEV(1.23,1.06)</f>
        <v>0.12020815280171303</v>
      </c>
      <c r="F183" s="18" t="s">
        <v>958</v>
      </c>
      <c r="G183" s="19">
        <v>25</v>
      </c>
      <c r="H183" s="20" t="s">
        <v>959</v>
      </c>
      <c r="I183" s="34" t="s">
        <v>548</v>
      </c>
      <c r="J183" s="19" t="s">
        <v>469</v>
      </c>
      <c r="K183" s="19">
        <v>10</v>
      </c>
      <c r="L183" s="19">
        <v>5.0000000000000002E-5</v>
      </c>
      <c r="M183" s="22">
        <v>88</v>
      </c>
      <c r="N183" s="5" t="s">
        <v>960</v>
      </c>
      <c r="O183" s="5">
        <v>2021</v>
      </c>
      <c r="P183" s="20" t="s">
        <v>961</v>
      </c>
    </row>
    <row r="184" spans="1:16" x14ac:dyDescent="0.2">
      <c r="A184" s="15">
        <v>191</v>
      </c>
      <c r="B184" s="16" t="s">
        <v>714</v>
      </c>
      <c r="C184" s="23">
        <v>1.48</v>
      </c>
      <c r="D184" s="46" t="s">
        <v>1016</v>
      </c>
      <c r="E184" s="23">
        <f>0.01/0.37*C184</f>
        <v>0.04</v>
      </c>
      <c r="F184" s="18">
        <v>7</v>
      </c>
      <c r="G184" s="19" t="s">
        <v>476</v>
      </c>
      <c r="H184" s="20" t="s">
        <v>432</v>
      </c>
      <c r="I184" s="5" t="s">
        <v>325</v>
      </c>
      <c r="J184" s="19" t="s">
        <v>326</v>
      </c>
      <c r="K184" s="19">
        <v>5</v>
      </c>
      <c r="L184" s="19">
        <v>2.5000000000000001E-4</v>
      </c>
      <c r="M184" s="22">
        <v>40</v>
      </c>
      <c r="N184" s="5" t="s">
        <v>696</v>
      </c>
      <c r="O184" s="5">
        <v>2010</v>
      </c>
      <c r="P184" s="20" t="s">
        <v>697</v>
      </c>
    </row>
    <row r="185" spans="1:16" x14ac:dyDescent="0.2">
      <c r="A185" s="15">
        <v>239</v>
      </c>
      <c r="B185" s="16" t="s">
        <v>770</v>
      </c>
      <c r="C185" s="17">
        <v>87.4</v>
      </c>
      <c r="D185" s="48" t="s">
        <v>970</v>
      </c>
      <c r="E185" s="17"/>
      <c r="F185" s="18">
        <v>7</v>
      </c>
      <c r="G185" s="19">
        <v>25</v>
      </c>
      <c r="H185" s="20" t="s">
        <v>742</v>
      </c>
      <c r="I185" s="5" t="s">
        <v>765</v>
      </c>
      <c r="J185" s="19" t="s">
        <v>469</v>
      </c>
      <c r="K185" s="19" t="s">
        <v>485</v>
      </c>
      <c r="L185" s="19" t="s">
        <v>766</v>
      </c>
      <c r="M185" s="22">
        <v>48</v>
      </c>
      <c r="N185" s="5" t="s">
        <v>678</v>
      </c>
      <c r="O185" s="5">
        <v>2012</v>
      </c>
      <c r="P185" s="20" t="s">
        <v>767</v>
      </c>
    </row>
    <row r="186" spans="1:16" x14ac:dyDescent="0.2">
      <c r="A186" s="15">
        <v>219</v>
      </c>
      <c r="B186" s="16" t="s">
        <v>745</v>
      </c>
      <c r="C186" s="17">
        <v>44.45</v>
      </c>
      <c r="D186" s="48" t="s">
        <v>970</v>
      </c>
      <c r="E186" s="17"/>
      <c r="F186" s="18">
        <v>5.8</v>
      </c>
      <c r="G186" s="19">
        <v>25</v>
      </c>
      <c r="H186" s="20" t="s">
        <v>746</v>
      </c>
      <c r="I186" s="5" t="s">
        <v>548</v>
      </c>
      <c r="J186" s="19" t="s">
        <v>469</v>
      </c>
      <c r="K186" s="19" t="s">
        <v>747</v>
      </c>
      <c r="L186" s="19" t="s">
        <v>748</v>
      </c>
      <c r="M186" s="22">
        <v>44</v>
      </c>
      <c r="N186" s="5" t="s">
        <v>749</v>
      </c>
      <c r="O186" s="5">
        <v>2010</v>
      </c>
      <c r="P186" s="20" t="s">
        <v>750</v>
      </c>
    </row>
    <row r="187" spans="1:16" x14ac:dyDescent="0.2">
      <c r="A187" s="15">
        <v>237</v>
      </c>
      <c r="B187" s="16" t="s">
        <v>745</v>
      </c>
      <c r="C187" s="17">
        <v>86.2</v>
      </c>
      <c r="D187" s="48" t="s">
        <v>970</v>
      </c>
      <c r="E187" s="17"/>
      <c r="F187" s="18">
        <v>7</v>
      </c>
      <c r="G187" s="19">
        <v>25</v>
      </c>
      <c r="H187" s="20" t="s">
        <v>742</v>
      </c>
      <c r="I187" s="5" t="s">
        <v>765</v>
      </c>
      <c r="J187" s="19" t="s">
        <v>469</v>
      </c>
      <c r="K187" s="19" t="s">
        <v>485</v>
      </c>
      <c r="L187" s="19" t="s">
        <v>766</v>
      </c>
      <c r="M187" s="22">
        <v>48</v>
      </c>
      <c r="N187" s="5" t="s">
        <v>678</v>
      </c>
      <c r="O187" s="5">
        <v>2012</v>
      </c>
      <c r="P187" s="20" t="s">
        <v>767</v>
      </c>
    </row>
    <row r="188" spans="1:16" x14ac:dyDescent="0.2">
      <c r="A188" s="15">
        <v>20</v>
      </c>
      <c r="B188" s="16" t="s">
        <v>380</v>
      </c>
      <c r="C188" s="24">
        <v>1.67E-3</v>
      </c>
      <c r="D188" s="48" t="s">
        <v>970</v>
      </c>
      <c r="E188" s="24"/>
      <c r="F188" s="18">
        <v>4.5999999999999996</v>
      </c>
      <c r="G188" s="19">
        <v>20</v>
      </c>
      <c r="H188" s="20" t="s">
        <v>376</v>
      </c>
      <c r="I188" s="5" t="s">
        <v>377</v>
      </c>
      <c r="J188" s="19" t="s">
        <v>326</v>
      </c>
      <c r="K188" s="19">
        <v>18.600000000000001</v>
      </c>
      <c r="L188" s="19">
        <v>0.17150000000000001</v>
      </c>
      <c r="M188" s="22">
        <v>3</v>
      </c>
      <c r="N188" s="5" t="s">
        <v>378</v>
      </c>
      <c r="O188" s="5">
        <v>1967</v>
      </c>
      <c r="P188" s="20" t="s">
        <v>379</v>
      </c>
    </row>
    <row r="189" spans="1:16" x14ac:dyDescent="0.2">
      <c r="A189" s="15">
        <v>259</v>
      </c>
      <c r="B189" s="16" t="s">
        <v>380</v>
      </c>
      <c r="C189" s="24">
        <v>6.4999999999999997E-4</v>
      </c>
      <c r="D189" s="48" t="s">
        <v>970</v>
      </c>
      <c r="E189" s="24"/>
      <c r="F189" s="18" t="s">
        <v>808</v>
      </c>
      <c r="G189" s="19">
        <v>21</v>
      </c>
      <c r="H189" s="20" t="s">
        <v>476</v>
      </c>
      <c r="I189" s="5" t="s">
        <v>803</v>
      </c>
      <c r="J189" s="19" t="s">
        <v>804</v>
      </c>
      <c r="K189" s="19" t="s">
        <v>393</v>
      </c>
      <c r="L189" s="19" t="s">
        <v>393</v>
      </c>
      <c r="M189" s="22">
        <v>55</v>
      </c>
      <c r="N189" s="5" t="s">
        <v>805</v>
      </c>
      <c r="O189" s="5">
        <v>2014</v>
      </c>
      <c r="P189" s="20" t="s">
        <v>806</v>
      </c>
    </row>
    <row r="190" spans="1:16" x14ac:dyDescent="0.2">
      <c r="A190" s="15">
        <v>68</v>
      </c>
      <c r="B190" s="16" t="s">
        <v>461</v>
      </c>
      <c r="C190" s="24">
        <v>3.8999999999999998E-3</v>
      </c>
      <c r="D190" s="48" t="s">
        <v>970</v>
      </c>
      <c r="E190" s="26"/>
      <c r="F190" s="18">
        <v>7</v>
      </c>
      <c r="G190" s="19">
        <v>25</v>
      </c>
      <c r="H190" s="20" t="s">
        <v>458</v>
      </c>
      <c r="I190" s="5" t="s">
        <v>325</v>
      </c>
      <c r="J190" s="19" t="s">
        <v>326</v>
      </c>
      <c r="K190" s="19">
        <v>14</v>
      </c>
      <c r="L190" s="19">
        <v>2.9299999999999999E-3</v>
      </c>
      <c r="M190" s="22">
        <v>14</v>
      </c>
      <c r="N190" s="5" t="s">
        <v>459</v>
      </c>
      <c r="O190" s="5">
        <v>1996</v>
      </c>
      <c r="P190" s="20" t="s">
        <v>460</v>
      </c>
    </row>
    <row r="191" spans="1:16" x14ac:dyDescent="0.2">
      <c r="A191" s="15">
        <v>93</v>
      </c>
      <c r="B191" s="16" t="s">
        <v>461</v>
      </c>
      <c r="C191" s="26">
        <v>1.1299999999999999E-2</v>
      </c>
      <c r="D191" s="49" t="s">
        <v>969</v>
      </c>
      <c r="E191" s="24">
        <f>0.0006</f>
        <v>5.9999999999999995E-4</v>
      </c>
      <c r="F191" s="18" t="s">
        <v>502</v>
      </c>
      <c r="G191" s="19">
        <v>30</v>
      </c>
      <c r="H191" s="20" t="s">
        <v>503</v>
      </c>
      <c r="I191" s="5" t="s">
        <v>468</v>
      </c>
      <c r="J191" s="19" t="s">
        <v>469</v>
      </c>
      <c r="K191" s="19" t="s">
        <v>476</v>
      </c>
      <c r="L191" s="19" t="s">
        <v>476</v>
      </c>
      <c r="M191" s="22">
        <v>90</v>
      </c>
      <c r="N191" s="5" t="s">
        <v>506</v>
      </c>
      <c r="O191" s="5">
        <v>1996</v>
      </c>
      <c r="P191" s="20" t="s">
        <v>507</v>
      </c>
    </row>
    <row r="192" spans="1:16" ht="120" x14ac:dyDescent="0.2">
      <c r="A192" s="15">
        <v>117</v>
      </c>
      <c r="B192" s="16" t="s">
        <v>461</v>
      </c>
      <c r="C192" s="24">
        <v>6.0000000000000001E-3</v>
      </c>
      <c r="D192" s="47" t="s">
        <v>966</v>
      </c>
      <c r="E192" s="24">
        <v>8.0000000000000004E-4</v>
      </c>
      <c r="F192" s="18">
        <v>5.6</v>
      </c>
      <c r="G192" s="19">
        <v>21</v>
      </c>
      <c r="H192" s="20" t="s">
        <v>489</v>
      </c>
      <c r="I192" s="5" t="s">
        <v>514</v>
      </c>
      <c r="J192" s="19" t="s">
        <v>469</v>
      </c>
      <c r="K192" s="19" t="s">
        <v>576</v>
      </c>
      <c r="L192" s="19" t="s">
        <v>575</v>
      </c>
      <c r="M192" s="22">
        <v>28</v>
      </c>
      <c r="N192" s="5" t="s">
        <v>560</v>
      </c>
      <c r="O192" s="5">
        <v>2004</v>
      </c>
      <c r="P192" s="20" t="s">
        <v>561</v>
      </c>
    </row>
    <row r="193" spans="1:16" x14ac:dyDescent="0.2">
      <c r="A193" s="15">
        <v>196</v>
      </c>
      <c r="B193" s="16" t="s">
        <v>719</v>
      </c>
      <c r="C193" s="23">
        <v>0.84</v>
      </c>
      <c r="D193" s="46" t="s">
        <v>1016</v>
      </c>
      <c r="E193" s="23">
        <f>0.05/0.21*C193</f>
        <v>0.2</v>
      </c>
      <c r="F193" s="18">
        <v>7</v>
      </c>
      <c r="G193" s="19" t="s">
        <v>476</v>
      </c>
      <c r="H193" s="20" t="s">
        <v>432</v>
      </c>
      <c r="I193" s="5" t="s">
        <v>325</v>
      </c>
      <c r="J193" s="19" t="s">
        <v>326</v>
      </c>
      <c r="K193" s="19">
        <v>5</v>
      </c>
      <c r="L193" s="19">
        <v>2.5000000000000001E-4</v>
      </c>
      <c r="M193" s="22">
        <v>40</v>
      </c>
      <c r="N193" s="5" t="s">
        <v>696</v>
      </c>
      <c r="O193" s="5">
        <v>2010</v>
      </c>
      <c r="P193" s="20" t="s">
        <v>697</v>
      </c>
    </row>
    <row r="194" spans="1:16" ht="120" x14ac:dyDescent="0.2">
      <c r="A194" s="15">
        <v>114</v>
      </c>
      <c r="B194" s="16" t="s">
        <v>568</v>
      </c>
      <c r="C194" s="23">
        <v>0.9</v>
      </c>
      <c r="D194" s="46" t="s">
        <v>966</v>
      </c>
      <c r="E194" s="23">
        <v>0.3</v>
      </c>
      <c r="F194" s="18">
        <v>5.6</v>
      </c>
      <c r="G194" s="19">
        <v>21</v>
      </c>
      <c r="H194" s="20" t="s">
        <v>489</v>
      </c>
      <c r="I194" s="5" t="s">
        <v>514</v>
      </c>
      <c r="J194" s="19" t="s">
        <v>469</v>
      </c>
      <c r="K194" s="19" t="s">
        <v>569</v>
      </c>
      <c r="L194" s="19" t="s">
        <v>570</v>
      </c>
      <c r="M194" s="22">
        <v>28</v>
      </c>
      <c r="N194" s="5" t="s">
        <v>560</v>
      </c>
      <c r="O194" s="5">
        <v>2004</v>
      </c>
      <c r="P194" s="20" t="s">
        <v>561</v>
      </c>
    </row>
    <row r="195" spans="1:16" ht="120" x14ac:dyDescent="0.2">
      <c r="A195" s="15">
        <v>122</v>
      </c>
      <c r="B195" s="16" t="s">
        <v>584</v>
      </c>
      <c r="C195" s="24">
        <v>4.3E-3</v>
      </c>
      <c r="D195" s="47" t="s">
        <v>966</v>
      </c>
      <c r="E195" s="24">
        <v>0.03</v>
      </c>
      <c r="F195" s="18">
        <v>5.6</v>
      </c>
      <c r="G195" s="19">
        <v>21</v>
      </c>
      <c r="H195" s="20" t="s">
        <v>489</v>
      </c>
      <c r="I195" s="5" t="s">
        <v>514</v>
      </c>
      <c r="J195" s="19" t="s">
        <v>469</v>
      </c>
      <c r="K195" s="19" t="s">
        <v>585</v>
      </c>
      <c r="L195" s="19" t="s">
        <v>586</v>
      </c>
      <c r="M195" s="22">
        <v>28</v>
      </c>
      <c r="N195" s="5" t="s">
        <v>560</v>
      </c>
      <c r="O195" s="5">
        <v>2004</v>
      </c>
      <c r="P195" s="20" t="s">
        <v>561</v>
      </c>
    </row>
    <row r="196" spans="1:16" ht="68" x14ac:dyDescent="0.2">
      <c r="A196" s="15">
        <v>28</v>
      </c>
      <c r="B196" s="16" t="s">
        <v>395</v>
      </c>
      <c r="C196" s="19">
        <v>1180</v>
      </c>
      <c r="D196" s="43" t="s">
        <v>1027</v>
      </c>
      <c r="E196" s="7">
        <f>0.06*C196</f>
        <v>70.8</v>
      </c>
      <c r="F196" s="18" t="s">
        <v>165</v>
      </c>
      <c r="G196" s="19">
        <v>25</v>
      </c>
      <c r="H196" s="20" t="s">
        <v>391</v>
      </c>
      <c r="I196" s="5" t="s">
        <v>325</v>
      </c>
      <c r="J196" s="19" t="s">
        <v>392</v>
      </c>
      <c r="K196" s="19" t="s">
        <v>393</v>
      </c>
      <c r="L196" s="19" t="s">
        <v>393</v>
      </c>
      <c r="M196" s="22">
        <v>5</v>
      </c>
      <c r="N196" s="5" t="s">
        <v>388</v>
      </c>
      <c r="O196" s="5">
        <v>1973</v>
      </c>
      <c r="P196" s="20" t="s">
        <v>394</v>
      </c>
    </row>
    <row r="197" spans="1:16" x14ac:dyDescent="0.2">
      <c r="A197" s="15">
        <v>201</v>
      </c>
      <c r="B197" s="16" t="s">
        <v>724</v>
      </c>
      <c r="C197" s="23">
        <v>0.8</v>
      </c>
      <c r="D197" s="46" t="s">
        <v>1016</v>
      </c>
      <c r="E197" s="23">
        <f>0.02/0.2*C197</f>
        <v>0.08</v>
      </c>
      <c r="F197" s="18">
        <v>7</v>
      </c>
      <c r="G197" s="19" t="s">
        <v>476</v>
      </c>
      <c r="H197" s="20" t="s">
        <v>432</v>
      </c>
      <c r="I197" s="5" t="s">
        <v>325</v>
      </c>
      <c r="J197" s="19" t="s">
        <v>326</v>
      </c>
      <c r="K197" s="19">
        <v>5</v>
      </c>
      <c r="L197" s="19">
        <v>2.5000000000000001E-4</v>
      </c>
      <c r="M197" s="22">
        <v>40</v>
      </c>
      <c r="N197" s="5" t="s">
        <v>696</v>
      </c>
      <c r="O197" s="5">
        <v>2010</v>
      </c>
      <c r="P197" s="20" t="s">
        <v>697</v>
      </c>
    </row>
    <row r="198" spans="1:16" x14ac:dyDescent="0.2">
      <c r="A198" s="15">
        <v>295</v>
      </c>
      <c r="B198" s="16" t="s">
        <v>879</v>
      </c>
      <c r="C198" s="23">
        <v>2.7</v>
      </c>
      <c r="D198" s="46" t="s">
        <v>971</v>
      </c>
      <c r="E198" s="23">
        <v>0.2</v>
      </c>
      <c r="F198" s="18">
        <v>5.6</v>
      </c>
      <c r="G198" s="19">
        <v>23</v>
      </c>
      <c r="H198" s="20" t="s">
        <v>489</v>
      </c>
      <c r="I198" s="5" t="s">
        <v>548</v>
      </c>
      <c r="J198" s="19" t="s">
        <v>469</v>
      </c>
      <c r="K198" s="19" t="s">
        <v>880</v>
      </c>
      <c r="L198" s="19" t="s">
        <v>881</v>
      </c>
      <c r="M198" s="22">
        <v>73</v>
      </c>
      <c r="N198" s="5" t="s">
        <v>875</v>
      </c>
      <c r="O198" s="5">
        <v>2019</v>
      </c>
      <c r="P198" s="20" t="s">
        <v>876</v>
      </c>
    </row>
    <row r="199" spans="1:16" x14ac:dyDescent="0.2">
      <c r="A199" s="15">
        <v>109</v>
      </c>
      <c r="B199" s="16" t="s">
        <v>545</v>
      </c>
      <c r="C199" s="24">
        <f>0.433/24/60/60/(20/158)</f>
        <v>3.9591435185185184E-5</v>
      </c>
      <c r="D199" s="47" t="s">
        <v>970</v>
      </c>
      <c r="E199" s="24"/>
      <c r="F199" s="18" t="s">
        <v>546</v>
      </c>
      <c r="G199" s="19" t="s">
        <v>476</v>
      </c>
      <c r="H199" s="20" t="s">
        <v>547</v>
      </c>
      <c r="I199" s="5" t="s">
        <v>548</v>
      </c>
      <c r="J199" s="19" t="s">
        <v>469</v>
      </c>
      <c r="K199" s="19">
        <v>11000</v>
      </c>
      <c r="L199" s="19">
        <v>0.127</v>
      </c>
      <c r="M199" s="22">
        <v>26</v>
      </c>
      <c r="N199" s="5" t="s">
        <v>549</v>
      </c>
      <c r="O199" s="5">
        <v>2004</v>
      </c>
      <c r="P199" s="20" t="s">
        <v>550</v>
      </c>
    </row>
    <row r="200" spans="1:16" ht="60" x14ac:dyDescent="0.2">
      <c r="A200" s="15">
        <v>220</v>
      </c>
      <c r="B200" s="16" t="s">
        <v>545</v>
      </c>
      <c r="C200" s="24">
        <v>4.1999999999999998E-5</v>
      </c>
      <c r="D200" s="47" t="s">
        <v>1000</v>
      </c>
      <c r="E200" s="24">
        <v>2.2000000000000001E-6</v>
      </c>
      <c r="F200" s="18">
        <v>7</v>
      </c>
      <c r="G200" s="19">
        <v>25</v>
      </c>
      <c r="H200" s="20" t="s">
        <v>751</v>
      </c>
      <c r="I200" s="5" t="s">
        <v>548</v>
      </c>
      <c r="J200" s="19" t="s">
        <v>469</v>
      </c>
      <c r="K200" s="19" t="s">
        <v>752</v>
      </c>
      <c r="L200" s="19" t="s">
        <v>753</v>
      </c>
      <c r="M200" s="22">
        <v>45</v>
      </c>
      <c r="N200" s="5" t="s">
        <v>754</v>
      </c>
      <c r="O200" s="5">
        <v>2011</v>
      </c>
      <c r="P200" s="20" t="s">
        <v>755</v>
      </c>
    </row>
    <row r="201" spans="1:16" x14ac:dyDescent="0.2">
      <c r="A201" s="15">
        <v>83</v>
      </c>
      <c r="B201" s="16" t="s">
        <v>498</v>
      </c>
      <c r="C201" s="26">
        <v>3.1E-2</v>
      </c>
      <c r="D201" s="49" t="s">
        <v>970</v>
      </c>
      <c r="E201" s="26"/>
      <c r="F201" s="18">
        <v>4.8</v>
      </c>
      <c r="G201" s="19">
        <v>25</v>
      </c>
      <c r="H201" s="20" t="s">
        <v>495</v>
      </c>
      <c r="I201" s="5" t="s">
        <v>325</v>
      </c>
      <c r="J201" s="19" t="s">
        <v>326</v>
      </c>
      <c r="K201" s="7">
        <v>10</v>
      </c>
      <c r="L201" s="19">
        <v>0.01</v>
      </c>
      <c r="M201" s="22">
        <v>19</v>
      </c>
      <c r="N201" s="5" t="s">
        <v>496</v>
      </c>
      <c r="O201" s="5">
        <v>2000</v>
      </c>
      <c r="P201" s="20" t="s">
        <v>497</v>
      </c>
    </row>
    <row r="202" spans="1:16" x14ac:dyDescent="0.2">
      <c r="A202" s="15">
        <v>199</v>
      </c>
      <c r="B202" s="16" t="s">
        <v>722</v>
      </c>
      <c r="C202" s="23">
        <v>0.8</v>
      </c>
      <c r="D202" s="46" t="s">
        <v>1016</v>
      </c>
      <c r="E202" s="23">
        <f>0.03/0.2*C202</f>
        <v>0.12</v>
      </c>
      <c r="F202" s="18">
        <v>7</v>
      </c>
      <c r="G202" s="19" t="s">
        <v>476</v>
      </c>
      <c r="H202" s="20" t="s">
        <v>432</v>
      </c>
      <c r="I202" s="5" t="s">
        <v>325</v>
      </c>
      <c r="J202" s="19" t="s">
        <v>326</v>
      </c>
      <c r="K202" s="19">
        <v>5</v>
      </c>
      <c r="L202" s="19">
        <v>2.5000000000000001E-4</v>
      </c>
      <c r="M202" s="22">
        <v>40</v>
      </c>
      <c r="N202" s="5" t="s">
        <v>696</v>
      </c>
      <c r="O202" s="5">
        <v>2010</v>
      </c>
      <c r="P202" s="20" t="s">
        <v>697</v>
      </c>
    </row>
    <row r="203" spans="1:16" x14ac:dyDescent="0.2">
      <c r="A203" s="15">
        <v>312</v>
      </c>
      <c r="B203" s="16" t="s">
        <v>906</v>
      </c>
      <c r="C203" s="24">
        <v>5.8300000000000001E-3</v>
      </c>
      <c r="D203" s="47" t="s">
        <v>970</v>
      </c>
      <c r="E203" s="24"/>
      <c r="F203" s="18" t="s">
        <v>862</v>
      </c>
      <c r="G203" s="19">
        <v>25</v>
      </c>
      <c r="H203" s="20" t="s">
        <v>907</v>
      </c>
      <c r="I203" s="34" t="s">
        <v>548</v>
      </c>
      <c r="J203" s="19" t="s">
        <v>469</v>
      </c>
      <c r="K203" s="19" t="s">
        <v>613</v>
      </c>
      <c r="L203" s="19" t="s">
        <v>908</v>
      </c>
      <c r="M203" s="22">
        <v>78</v>
      </c>
      <c r="N203" s="5" t="s">
        <v>678</v>
      </c>
      <c r="O203" s="5">
        <v>2020</v>
      </c>
      <c r="P203" s="20" t="s">
        <v>909</v>
      </c>
    </row>
    <row r="204" spans="1:16" ht="45" x14ac:dyDescent="0.2">
      <c r="A204" s="15">
        <v>328</v>
      </c>
      <c r="B204" s="16" t="s">
        <v>956</v>
      </c>
      <c r="C204" s="17">
        <f>1030/60</f>
        <v>17.166666666666668</v>
      </c>
      <c r="D204" s="48" t="s">
        <v>1001</v>
      </c>
      <c r="E204" s="17">
        <f>130/60</f>
        <v>2.1666666666666665</v>
      </c>
      <c r="F204" s="18">
        <v>7</v>
      </c>
      <c r="G204" s="19">
        <v>25</v>
      </c>
      <c r="H204" s="20" t="s">
        <v>823</v>
      </c>
      <c r="I204" s="34" t="s">
        <v>952</v>
      </c>
      <c r="J204" s="19" t="s">
        <v>653</v>
      </c>
      <c r="K204" s="19" t="s">
        <v>393</v>
      </c>
      <c r="L204" s="19" t="s">
        <v>393</v>
      </c>
      <c r="M204" s="22">
        <v>87</v>
      </c>
      <c r="N204" s="5" t="s">
        <v>540</v>
      </c>
      <c r="O204" s="5">
        <v>2022</v>
      </c>
      <c r="P204" s="20" t="s">
        <v>955</v>
      </c>
    </row>
    <row r="205" spans="1:16" ht="45" x14ac:dyDescent="0.2">
      <c r="A205" s="15">
        <v>247</v>
      </c>
      <c r="B205" s="16" t="s">
        <v>785</v>
      </c>
      <c r="C205" s="23">
        <f>10^AVERAGE(0.98,0.92,0.89)</f>
        <v>8.5113803820237681</v>
      </c>
      <c r="D205" s="46" t="s">
        <v>1001</v>
      </c>
      <c r="E205" s="23">
        <f>STDEV(0.98,0.92,0.89)/AVERAGE(0.98,0.92,0.89)*C205</f>
        <v>0.41939833192673176</v>
      </c>
      <c r="F205" s="18">
        <v>7</v>
      </c>
      <c r="G205" s="19">
        <v>20</v>
      </c>
      <c r="H205" s="20" t="s">
        <v>786</v>
      </c>
      <c r="I205" s="5" t="s">
        <v>683</v>
      </c>
      <c r="J205" s="19" t="s">
        <v>469</v>
      </c>
      <c r="K205" s="7">
        <f>L205/(0.0002/357.8)</f>
        <v>12.455063291139242</v>
      </c>
      <c r="L205" s="33">
        <f>0.0011/158</f>
        <v>6.9620253164556965E-6</v>
      </c>
      <c r="M205" s="22">
        <v>51</v>
      </c>
      <c r="N205" s="5" t="s">
        <v>787</v>
      </c>
      <c r="O205" s="5">
        <v>2013</v>
      </c>
      <c r="P205" s="20" t="s">
        <v>788</v>
      </c>
    </row>
    <row r="206" spans="1:16" x14ac:dyDescent="0.2">
      <c r="A206" s="15">
        <v>25</v>
      </c>
      <c r="B206" s="16" t="s">
        <v>385</v>
      </c>
      <c r="C206" s="24">
        <v>2.8999999999999998E-3</v>
      </c>
      <c r="D206" s="47" t="s">
        <v>970</v>
      </c>
      <c r="E206" s="24"/>
      <c r="F206" s="18">
        <v>4.5999999999999996</v>
      </c>
      <c r="G206" s="19">
        <v>30</v>
      </c>
      <c r="H206" s="20" t="s">
        <v>376</v>
      </c>
      <c r="I206" s="5" t="s">
        <v>377</v>
      </c>
      <c r="J206" s="19" t="s">
        <v>326</v>
      </c>
      <c r="K206" s="7">
        <v>56</v>
      </c>
      <c r="L206" s="19">
        <v>0.51500000000000001</v>
      </c>
      <c r="M206" s="22">
        <v>3</v>
      </c>
      <c r="N206" s="5" t="s">
        <v>378</v>
      </c>
      <c r="O206" s="5">
        <v>1967</v>
      </c>
      <c r="P206" s="20" t="s">
        <v>379</v>
      </c>
    </row>
    <row r="207" spans="1:16" x14ac:dyDescent="0.2">
      <c r="A207" s="15">
        <v>69</v>
      </c>
      <c r="B207" s="16" t="s">
        <v>462</v>
      </c>
      <c r="C207" s="24">
        <v>7.7000000000000002E-3</v>
      </c>
      <c r="D207" s="47" t="s">
        <v>970</v>
      </c>
      <c r="E207" s="26"/>
      <c r="F207" s="18">
        <v>7</v>
      </c>
      <c r="G207" s="19">
        <v>25</v>
      </c>
      <c r="H207" s="20" t="s">
        <v>458</v>
      </c>
      <c r="I207" s="5" t="s">
        <v>325</v>
      </c>
      <c r="J207" s="19" t="s">
        <v>326</v>
      </c>
      <c r="K207" s="19">
        <v>10</v>
      </c>
      <c r="L207" s="19">
        <v>1.15E-3</v>
      </c>
      <c r="M207" s="22">
        <v>14</v>
      </c>
      <c r="N207" s="5" t="s">
        <v>459</v>
      </c>
      <c r="O207" s="5">
        <v>1996</v>
      </c>
      <c r="P207" s="20" t="s">
        <v>460</v>
      </c>
    </row>
    <row r="208" spans="1:16" x14ac:dyDescent="0.2">
      <c r="A208" s="15">
        <v>94</v>
      </c>
      <c r="B208" s="16" t="s">
        <v>462</v>
      </c>
      <c r="C208" s="26">
        <v>1.23E-2</v>
      </c>
      <c r="D208" s="49" t="s">
        <v>969</v>
      </c>
      <c r="E208" s="24">
        <f>0.0005</f>
        <v>5.0000000000000001E-4</v>
      </c>
      <c r="F208" s="18" t="s">
        <v>502</v>
      </c>
      <c r="G208" s="19">
        <v>30</v>
      </c>
      <c r="H208" s="20" t="s">
        <v>503</v>
      </c>
      <c r="I208" s="5" t="s">
        <v>468</v>
      </c>
      <c r="J208" s="19" t="s">
        <v>469</v>
      </c>
      <c r="K208" s="19" t="s">
        <v>476</v>
      </c>
      <c r="L208" s="19" t="s">
        <v>476</v>
      </c>
      <c r="M208" s="22">
        <v>90</v>
      </c>
      <c r="N208" s="5" t="s">
        <v>506</v>
      </c>
      <c r="O208" s="5">
        <v>1996</v>
      </c>
      <c r="P208" s="20" t="s">
        <v>507</v>
      </c>
    </row>
    <row r="209" spans="1:16" ht="120" x14ac:dyDescent="0.2">
      <c r="A209" s="15">
        <v>118</v>
      </c>
      <c r="B209" s="16" t="s">
        <v>462</v>
      </c>
      <c r="C209" s="24">
        <v>6.1999999999999998E-3</v>
      </c>
      <c r="D209" s="47" t="s">
        <v>966</v>
      </c>
      <c r="E209" s="24">
        <v>2E-3</v>
      </c>
      <c r="F209" s="18">
        <v>5.6</v>
      </c>
      <c r="G209" s="19">
        <v>21</v>
      </c>
      <c r="H209" s="20" t="s">
        <v>489</v>
      </c>
      <c r="I209" s="5" t="s">
        <v>514</v>
      </c>
      <c r="J209" s="19" t="s">
        <v>469</v>
      </c>
      <c r="K209" s="19" t="s">
        <v>577</v>
      </c>
      <c r="L209" s="19" t="s">
        <v>575</v>
      </c>
      <c r="M209" s="22">
        <v>28</v>
      </c>
      <c r="N209" s="5" t="s">
        <v>560</v>
      </c>
      <c r="O209" s="5">
        <v>2004</v>
      </c>
      <c r="P209" s="20" t="s">
        <v>561</v>
      </c>
    </row>
    <row r="210" spans="1:16" x14ac:dyDescent="0.2">
      <c r="A210" s="15">
        <v>5</v>
      </c>
      <c r="B210" s="16" t="s">
        <v>336</v>
      </c>
      <c r="C210" s="23">
        <v>2</v>
      </c>
      <c r="D210" s="46" t="s">
        <v>970</v>
      </c>
      <c r="E210" s="23"/>
      <c r="F210" s="18">
        <v>13</v>
      </c>
      <c r="G210" s="19">
        <v>25</v>
      </c>
      <c r="H210" s="20" t="s">
        <v>324</v>
      </c>
      <c r="I210" s="5" t="s">
        <v>325</v>
      </c>
      <c r="J210" s="19" t="s">
        <v>326</v>
      </c>
      <c r="K210" s="19" t="s">
        <v>337</v>
      </c>
      <c r="L210" s="19" t="s">
        <v>338</v>
      </c>
      <c r="M210" s="22">
        <v>1</v>
      </c>
      <c r="N210" s="5" t="s">
        <v>327</v>
      </c>
      <c r="O210" s="5">
        <v>1965</v>
      </c>
      <c r="P210" s="20" t="s">
        <v>328</v>
      </c>
    </row>
    <row r="211" spans="1:16" x14ac:dyDescent="0.2">
      <c r="A211" s="15">
        <v>177</v>
      </c>
      <c r="B211" s="16" t="s">
        <v>701</v>
      </c>
      <c r="C211" s="17">
        <v>69.72</v>
      </c>
      <c r="D211" s="48" t="s">
        <v>1016</v>
      </c>
      <c r="E211" s="17">
        <f>4.29/17.43*C211</f>
        <v>17.16</v>
      </c>
      <c r="F211" s="18">
        <v>7</v>
      </c>
      <c r="G211" s="19" t="s">
        <v>476</v>
      </c>
      <c r="H211" s="20" t="s">
        <v>432</v>
      </c>
      <c r="I211" s="5" t="s">
        <v>325</v>
      </c>
      <c r="J211" s="19" t="s">
        <v>326</v>
      </c>
      <c r="K211" s="19">
        <v>5</v>
      </c>
      <c r="L211" s="19">
        <v>2.5000000000000001E-4</v>
      </c>
      <c r="M211" s="22">
        <v>40</v>
      </c>
      <c r="N211" s="5" t="s">
        <v>696</v>
      </c>
      <c r="O211" s="5">
        <v>2010</v>
      </c>
      <c r="P211" s="20" t="s">
        <v>697</v>
      </c>
    </row>
    <row r="212" spans="1:16" x14ac:dyDescent="0.2">
      <c r="A212" s="15">
        <v>269</v>
      </c>
      <c r="B212" s="16" t="s">
        <v>701</v>
      </c>
      <c r="C212" s="23">
        <v>3.9</v>
      </c>
      <c r="D212" s="46" t="s">
        <v>970</v>
      </c>
      <c r="E212" s="23"/>
      <c r="F212" s="18">
        <v>7.5</v>
      </c>
      <c r="G212" s="19">
        <v>20</v>
      </c>
      <c r="H212" s="20" t="s">
        <v>840</v>
      </c>
      <c r="I212" s="5" t="s">
        <v>683</v>
      </c>
      <c r="J212" s="19" t="s">
        <v>469</v>
      </c>
      <c r="K212" s="19" t="s">
        <v>841</v>
      </c>
      <c r="L212" s="19" t="s">
        <v>842</v>
      </c>
      <c r="M212" s="22">
        <v>65</v>
      </c>
      <c r="N212" s="5" t="s">
        <v>826</v>
      </c>
      <c r="O212" s="5">
        <v>2017</v>
      </c>
      <c r="P212" s="20" t="s">
        <v>843</v>
      </c>
    </row>
    <row r="213" spans="1:16" ht="51" x14ac:dyDescent="0.2">
      <c r="A213" s="15">
        <v>243</v>
      </c>
      <c r="B213" s="16" t="s">
        <v>776</v>
      </c>
      <c r="C213" s="7">
        <v>179</v>
      </c>
      <c r="D213" s="43" t="s">
        <v>1041</v>
      </c>
      <c r="E213" s="7">
        <v>10</v>
      </c>
      <c r="F213" s="18">
        <v>6</v>
      </c>
      <c r="G213" s="19">
        <v>22</v>
      </c>
      <c r="H213" s="20" t="s">
        <v>432</v>
      </c>
      <c r="I213" s="5" t="s">
        <v>777</v>
      </c>
      <c r="J213" s="19" t="s">
        <v>469</v>
      </c>
      <c r="K213" s="19" t="s">
        <v>778</v>
      </c>
      <c r="L213" s="32" t="s">
        <v>779</v>
      </c>
      <c r="M213" s="22">
        <v>50</v>
      </c>
      <c r="N213" s="5" t="s">
        <v>780</v>
      </c>
      <c r="O213" s="5">
        <v>2013</v>
      </c>
      <c r="P213" s="20" t="s">
        <v>781</v>
      </c>
    </row>
    <row r="214" spans="1:16" x14ac:dyDescent="0.2">
      <c r="A214" s="15">
        <v>215</v>
      </c>
      <c r="B214" s="16" t="s">
        <v>741</v>
      </c>
      <c r="C214" s="23">
        <v>3.6</v>
      </c>
      <c r="D214" s="46" t="s">
        <v>1022</v>
      </c>
      <c r="E214" s="23">
        <v>0.1</v>
      </c>
      <c r="F214" s="18">
        <v>7</v>
      </c>
      <c r="G214" s="19">
        <v>25</v>
      </c>
      <c r="H214" s="20" t="s">
        <v>670</v>
      </c>
      <c r="I214" s="5" t="s">
        <v>548</v>
      </c>
      <c r="J214" s="19" t="s">
        <v>469</v>
      </c>
      <c r="K214" s="19" t="s">
        <v>739</v>
      </c>
      <c r="L214" s="19" t="s">
        <v>740</v>
      </c>
      <c r="M214" s="22">
        <v>42</v>
      </c>
      <c r="N214" s="5" t="s">
        <v>672</v>
      </c>
      <c r="O214" s="5">
        <v>2010</v>
      </c>
      <c r="P214" s="20" t="s">
        <v>738</v>
      </c>
    </row>
    <row r="215" spans="1:16" x14ac:dyDescent="0.2">
      <c r="A215" s="15">
        <v>195</v>
      </c>
      <c r="B215" s="16" t="s">
        <v>718</v>
      </c>
      <c r="C215" s="23">
        <v>0.88</v>
      </c>
      <c r="D215" s="46" t="s">
        <v>1016</v>
      </c>
      <c r="E215" s="23">
        <f>0.02/0.22*C215</f>
        <v>0.08</v>
      </c>
      <c r="F215" s="18">
        <v>7</v>
      </c>
      <c r="G215" s="19" t="s">
        <v>476</v>
      </c>
      <c r="H215" s="20" t="s">
        <v>432</v>
      </c>
      <c r="I215" s="5" t="s">
        <v>325</v>
      </c>
      <c r="J215" s="19" t="s">
        <v>326</v>
      </c>
      <c r="K215" s="19">
        <v>5</v>
      </c>
      <c r="L215" s="19">
        <v>2.5000000000000001E-4</v>
      </c>
      <c r="M215" s="22">
        <v>40</v>
      </c>
      <c r="N215" s="5" t="s">
        <v>696</v>
      </c>
      <c r="O215" s="5">
        <v>2010</v>
      </c>
      <c r="P215" s="20" t="s">
        <v>697</v>
      </c>
    </row>
    <row r="216" spans="1:16" ht="60" x14ac:dyDescent="0.2">
      <c r="A216" s="15">
        <v>27</v>
      </c>
      <c r="B216" s="16" t="s">
        <v>390</v>
      </c>
      <c r="C216" s="19">
        <v>1000</v>
      </c>
      <c r="D216" s="51" t="s">
        <v>1027</v>
      </c>
      <c r="E216" s="19">
        <f>0.06*C216</f>
        <v>60</v>
      </c>
      <c r="F216" s="18" t="s">
        <v>182</v>
      </c>
      <c r="G216" s="19">
        <v>25</v>
      </c>
      <c r="H216" s="20" t="s">
        <v>391</v>
      </c>
      <c r="I216" s="5" t="s">
        <v>325</v>
      </c>
      <c r="J216" s="19" t="s">
        <v>392</v>
      </c>
      <c r="K216" s="19" t="s">
        <v>393</v>
      </c>
      <c r="L216" s="19" t="s">
        <v>393</v>
      </c>
      <c r="M216" s="22">
        <v>5</v>
      </c>
      <c r="N216" s="5" t="s">
        <v>388</v>
      </c>
      <c r="O216" s="5">
        <v>1973</v>
      </c>
      <c r="P216" s="20" t="s">
        <v>394</v>
      </c>
    </row>
    <row r="217" spans="1:16" ht="51" x14ac:dyDescent="0.2">
      <c r="A217" s="15">
        <v>244</v>
      </c>
      <c r="B217" s="16" t="s">
        <v>782</v>
      </c>
      <c r="C217" s="17">
        <v>73</v>
      </c>
      <c r="D217" s="43" t="s">
        <v>1041</v>
      </c>
      <c r="E217" s="17">
        <v>2</v>
      </c>
      <c r="F217" s="18">
        <v>6</v>
      </c>
      <c r="G217" s="19">
        <v>22</v>
      </c>
      <c r="H217" s="20" t="s">
        <v>432</v>
      </c>
      <c r="I217" s="5" t="s">
        <v>777</v>
      </c>
      <c r="J217" s="19" t="s">
        <v>469</v>
      </c>
      <c r="K217" s="19" t="s">
        <v>778</v>
      </c>
      <c r="L217" s="32" t="s">
        <v>779</v>
      </c>
      <c r="M217" s="22">
        <v>50</v>
      </c>
      <c r="N217" s="5" t="s">
        <v>780</v>
      </c>
      <c r="O217" s="5">
        <v>2013</v>
      </c>
      <c r="P217" s="20" t="s">
        <v>781</v>
      </c>
    </row>
    <row r="218" spans="1:16" x14ac:dyDescent="0.2">
      <c r="A218" s="15">
        <v>22</v>
      </c>
      <c r="B218" s="16" t="s">
        <v>382</v>
      </c>
      <c r="C218" s="24">
        <v>4.46E-5</v>
      </c>
      <c r="D218" s="47" t="s">
        <v>970</v>
      </c>
      <c r="E218" s="24"/>
      <c r="F218" s="18">
        <v>4.5999999999999996</v>
      </c>
      <c r="G218" s="19">
        <v>20</v>
      </c>
      <c r="H218" s="20" t="s">
        <v>376</v>
      </c>
      <c r="I218" s="5" t="s">
        <v>377</v>
      </c>
      <c r="J218" s="19" t="s">
        <v>326</v>
      </c>
      <c r="K218" s="19">
        <v>26.8</v>
      </c>
      <c r="L218" s="19">
        <v>0.247</v>
      </c>
      <c r="M218" s="22">
        <v>3</v>
      </c>
      <c r="N218" s="5" t="s">
        <v>378</v>
      </c>
      <c r="O218" s="5">
        <v>1967</v>
      </c>
      <c r="P218" s="20" t="s">
        <v>379</v>
      </c>
    </row>
    <row r="219" spans="1:16" x14ac:dyDescent="0.2">
      <c r="A219" s="15">
        <v>218</v>
      </c>
      <c r="B219" s="16" t="s">
        <v>744</v>
      </c>
      <c r="C219" s="17">
        <v>80</v>
      </c>
      <c r="D219" s="48" t="s">
        <v>970</v>
      </c>
      <c r="E219" s="17"/>
      <c r="F219" s="18">
        <v>6</v>
      </c>
      <c r="G219" s="19">
        <v>23</v>
      </c>
      <c r="H219" s="20" t="s">
        <v>742</v>
      </c>
      <c r="I219" s="5" t="s">
        <v>548</v>
      </c>
      <c r="J219" s="19" t="s">
        <v>469</v>
      </c>
      <c r="K219" s="19">
        <v>10</v>
      </c>
      <c r="L219" s="19">
        <v>6.0000000000000002E-5</v>
      </c>
      <c r="M219" s="22">
        <v>43</v>
      </c>
      <c r="N219" s="5" t="s">
        <v>678</v>
      </c>
      <c r="O219" s="5">
        <v>2010</v>
      </c>
      <c r="P219" s="20" t="s">
        <v>743</v>
      </c>
    </row>
    <row r="220" spans="1:16" x14ac:dyDescent="0.2">
      <c r="A220" s="15">
        <v>101</v>
      </c>
      <c r="B220" s="16" t="s">
        <v>524</v>
      </c>
      <c r="C220" s="24">
        <f>0.000001426*1000/60/60*88</f>
        <v>3.4857777777777779E-5</v>
      </c>
      <c r="D220" s="47"/>
      <c r="E220" s="24">
        <f>0.05*C220</f>
        <v>1.7428888888888891E-6</v>
      </c>
      <c r="F220" s="18">
        <v>7.6</v>
      </c>
      <c r="G220" s="19">
        <v>23</v>
      </c>
      <c r="H220" s="20" t="s">
        <v>525</v>
      </c>
      <c r="I220" s="5" t="s">
        <v>514</v>
      </c>
      <c r="J220" s="19" t="s">
        <v>469</v>
      </c>
      <c r="K220" s="19" t="s">
        <v>526</v>
      </c>
      <c r="L220" s="19" t="s">
        <v>527</v>
      </c>
      <c r="M220" s="22">
        <v>23</v>
      </c>
      <c r="N220" s="5" t="s">
        <v>528</v>
      </c>
      <c r="O220" s="5">
        <v>2002</v>
      </c>
      <c r="P220" s="20" t="s">
        <v>529</v>
      </c>
    </row>
    <row r="221" spans="1:16" ht="45" x14ac:dyDescent="0.2">
      <c r="A221" s="15">
        <v>136</v>
      </c>
      <c r="B221" s="16" t="s">
        <v>524</v>
      </c>
      <c r="C221" s="24">
        <f>AVERAGE(0.0000985, 0.000104)</f>
        <v>1.0124999999999999E-4</v>
      </c>
      <c r="D221" s="47" t="s">
        <v>988</v>
      </c>
      <c r="E221" s="24">
        <f>STDEV(0.0000985, 0.000104)</f>
        <v>3.8890872965260103E-6</v>
      </c>
      <c r="F221" s="30">
        <v>7</v>
      </c>
      <c r="G221" s="7">
        <v>25</v>
      </c>
      <c r="H221" s="31" t="s">
        <v>620</v>
      </c>
      <c r="I221" s="5" t="s">
        <v>325</v>
      </c>
      <c r="J221" s="19" t="s">
        <v>326</v>
      </c>
      <c r="K221" s="19" t="s">
        <v>621</v>
      </c>
      <c r="L221" s="19">
        <v>0.05</v>
      </c>
      <c r="M221" s="22">
        <v>31</v>
      </c>
      <c r="N221" s="5" t="s">
        <v>611</v>
      </c>
      <c r="O221" s="5">
        <v>2006</v>
      </c>
      <c r="P221" s="20" t="s">
        <v>612</v>
      </c>
    </row>
    <row r="222" spans="1:16" ht="68" x14ac:dyDescent="0.2">
      <c r="A222" s="15">
        <v>34</v>
      </c>
      <c r="B222" s="16" t="s">
        <v>407</v>
      </c>
      <c r="C222" s="17">
        <v>98</v>
      </c>
      <c r="D222" s="43" t="s">
        <v>1028</v>
      </c>
      <c r="E222" s="17">
        <f>0.08*C222</f>
        <v>7.84</v>
      </c>
      <c r="F222" s="18" t="s">
        <v>189</v>
      </c>
      <c r="G222" s="19">
        <v>25</v>
      </c>
      <c r="H222" s="20" t="s">
        <v>404</v>
      </c>
      <c r="I222" s="5" t="s">
        <v>325</v>
      </c>
      <c r="J222" s="19" t="s">
        <v>392</v>
      </c>
      <c r="K222" s="19" t="s">
        <v>393</v>
      </c>
      <c r="L222" s="19" t="s">
        <v>393</v>
      </c>
      <c r="M222" s="25">
        <v>7</v>
      </c>
      <c r="N222" s="5" t="s">
        <v>405</v>
      </c>
      <c r="O222" s="5">
        <v>1976</v>
      </c>
      <c r="P222" s="20" t="s">
        <v>406</v>
      </c>
    </row>
    <row r="223" spans="1:16" ht="60" x14ac:dyDescent="0.2">
      <c r="A223" s="15">
        <v>33</v>
      </c>
      <c r="B223" s="16" t="s">
        <v>403</v>
      </c>
      <c r="C223" s="7">
        <v>310</v>
      </c>
      <c r="D223" s="50" t="s">
        <v>1028</v>
      </c>
      <c r="E223" s="7">
        <f>0.08*C223</f>
        <v>24.8</v>
      </c>
      <c r="F223" s="18" t="s">
        <v>121</v>
      </c>
      <c r="G223" s="19">
        <v>25</v>
      </c>
      <c r="H223" s="20" t="s">
        <v>404</v>
      </c>
      <c r="I223" s="5" t="s">
        <v>325</v>
      </c>
      <c r="J223" s="19" t="s">
        <v>392</v>
      </c>
      <c r="K223" s="19" t="s">
        <v>393</v>
      </c>
      <c r="L223" s="19" t="s">
        <v>393</v>
      </c>
      <c r="M223" s="25">
        <v>7</v>
      </c>
      <c r="N223" s="5" t="s">
        <v>405</v>
      </c>
      <c r="O223" s="5">
        <v>1976</v>
      </c>
      <c r="P223" s="20" t="s">
        <v>406</v>
      </c>
    </row>
    <row r="224" spans="1:16" ht="240" x14ac:dyDescent="0.2">
      <c r="A224" s="15">
        <v>276</v>
      </c>
      <c r="B224" s="16" t="s">
        <v>847</v>
      </c>
      <c r="C224" s="23">
        <v>0.35</v>
      </c>
      <c r="D224" s="46" t="s">
        <v>1003</v>
      </c>
      <c r="E224" s="23">
        <v>5.0999999999999997E-2</v>
      </c>
      <c r="F224" s="18">
        <v>7</v>
      </c>
      <c r="G224" s="19">
        <v>25</v>
      </c>
      <c r="H224" s="20" t="s">
        <v>848</v>
      </c>
      <c r="I224" s="5" t="s">
        <v>548</v>
      </c>
      <c r="J224" s="19" t="s">
        <v>469</v>
      </c>
      <c r="K224" s="19" t="s">
        <v>423</v>
      </c>
      <c r="L224" s="19" t="s">
        <v>849</v>
      </c>
      <c r="M224" s="22">
        <v>67</v>
      </c>
      <c r="N224" s="5" t="s">
        <v>850</v>
      </c>
      <c r="O224" s="5">
        <v>2018</v>
      </c>
      <c r="P224" s="20" t="s">
        <v>851</v>
      </c>
    </row>
    <row r="225" spans="1:16" x14ac:dyDescent="0.2">
      <c r="A225" s="15">
        <v>210</v>
      </c>
      <c r="B225" s="16" t="s">
        <v>734</v>
      </c>
      <c r="C225" s="19" t="s">
        <v>733</v>
      </c>
      <c r="D225" s="51" t="s">
        <v>970</v>
      </c>
      <c r="E225" s="19"/>
      <c r="F225" s="18">
        <v>7</v>
      </c>
      <c r="G225" s="19" t="s">
        <v>476</v>
      </c>
      <c r="H225" s="20" t="s">
        <v>432</v>
      </c>
      <c r="I225" s="5" t="s">
        <v>325</v>
      </c>
      <c r="J225" s="19" t="s">
        <v>326</v>
      </c>
      <c r="K225" s="19">
        <v>5</v>
      </c>
      <c r="L225" s="19">
        <v>2.5000000000000001E-4</v>
      </c>
      <c r="M225" s="22">
        <v>40</v>
      </c>
      <c r="N225" s="5" t="s">
        <v>696</v>
      </c>
      <c r="O225" s="5">
        <v>2010</v>
      </c>
      <c r="P225" s="20" t="s">
        <v>697</v>
      </c>
    </row>
    <row r="226" spans="1:16" x14ac:dyDescent="0.2">
      <c r="A226" s="15">
        <v>167</v>
      </c>
      <c r="B226" s="16" t="s">
        <v>688</v>
      </c>
      <c r="C226" s="7">
        <v>170</v>
      </c>
      <c r="D226" s="50" t="s">
        <v>970</v>
      </c>
      <c r="E226" s="7"/>
      <c r="F226" s="18">
        <v>7.6</v>
      </c>
      <c r="G226" s="19">
        <v>22</v>
      </c>
      <c r="H226" s="20" t="s">
        <v>484</v>
      </c>
      <c r="I226" s="5" t="s">
        <v>683</v>
      </c>
      <c r="J226" s="19" t="s">
        <v>469</v>
      </c>
      <c r="K226" s="19" t="s">
        <v>476</v>
      </c>
      <c r="L226" s="19" t="s">
        <v>689</v>
      </c>
      <c r="M226" s="22">
        <v>39</v>
      </c>
      <c r="N226" s="5" t="s">
        <v>685</v>
      </c>
      <c r="O226" s="5">
        <v>2010</v>
      </c>
      <c r="P226" s="20" t="s">
        <v>686</v>
      </c>
    </row>
    <row r="227" spans="1:16" ht="45" x14ac:dyDescent="0.2">
      <c r="A227" s="15">
        <v>275</v>
      </c>
      <c r="B227" s="16" t="s">
        <v>688</v>
      </c>
      <c r="C227" s="7">
        <v>160.4</v>
      </c>
      <c r="D227" s="50" t="s">
        <v>1043</v>
      </c>
      <c r="E227" s="7">
        <v>1.3</v>
      </c>
      <c r="F227" s="18">
        <v>7.2</v>
      </c>
      <c r="G227" s="19">
        <v>21</v>
      </c>
      <c r="H227" s="20" t="s">
        <v>547</v>
      </c>
      <c r="I227" s="5" t="s">
        <v>683</v>
      </c>
      <c r="J227" s="19" t="s">
        <v>469</v>
      </c>
      <c r="K227" s="19" t="s">
        <v>337</v>
      </c>
      <c r="L227" s="19" t="s">
        <v>844</v>
      </c>
      <c r="M227" s="22">
        <v>66</v>
      </c>
      <c r="N227" s="5" t="s">
        <v>845</v>
      </c>
      <c r="O227" s="5">
        <v>2018</v>
      </c>
      <c r="P227" s="20" t="s">
        <v>846</v>
      </c>
    </row>
    <row r="228" spans="1:16" ht="90" x14ac:dyDescent="0.2">
      <c r="A228" s="15">
        <v>309</v>
      </c>
      <c r="B228" s="16" t="s">
        <v>688</v>
      </c>
      <c r="C228" s="7">
        <v>118</v>
      </c>
      <c r="D228" s="50" t="s">
        <v>1044</v>
      </c>
      <c r="E228" s="7">
        <v>9</v>
      </c>
      <c r="F228" s="18">
        <v>6.8</v>
      </c>
      <c r="G228" s="19">
        <v>18</v>
      </c>
      <c r="H228" s="20" t="s">
        <v>903</v>
      </c>
      <c r="I228" s="34" t="s">
        <v>548</v>
      </c>
      <c r="J228" s="19" t="s">
        <v>469</v>
      </c>
      <c r="K228" s="19">
        <v>250</v>
      </c>
      <c r="L228" s="33">
        <v>1.2999999999999999E-5</v>
      </c>
      <c r="M228" s="22">
        <v>77</v>
      </c>
      <c r="N228" s="5" t="s">
        <v>904</v>
      </c>
      <c r="O228" s="5">
        <v>2019</v>
      </c>
      <c r="P228" s="20" t="s">
        <v>905</v>
      </c>
    </row>
    <row r="229" spans="1:16" x14ac:dyDescent="0.2">
      <c r="A229" s="15">
        <v>168</v>
      </c>
      <c r="B229" s="16" t="s">
        <v>690</v>
      </c>
      <c r="C229" s="7">
        <v>246</v>
      </c>
      <c r="D229" s="50" t="s">
        <v>970</v>
      </c>
      <c r="E229" s="7"/>
      <c r="F229" s="18">
        <v>7.6</v>
      </c>
      <c r="G229" s="19">
        <v>22</v>
      </c>
      <c r="H229" s="20" t="s">
        <v>484</v>
      </c>
      <c r="I229" s="5" t="s">
        <v>683</v>
      </c>
      <c r="J229" s="19" t="s">
        <v>469</v>
      </c>
      <c r="K229" s="19" t="s">
        <v>476</v>
      </c>
      <c r="L229" s="19" t="s">
        <v>691</v>
      </c>
      <c r="M229" s="22">
        <v>39</v>
      </c>
      <c r="N229" s="5" t="s">
        <v>685</v>
      </c>
      <c r="O229" s="5">
        <v>2010</v>
      </c>
      <c r="P229" s="20" t="s">
        <v>686</v>
      </c>
    </row>
    <row r="230" spans="1:16" ht="45" x14ac:dyDescent="0.2">
      <c r="A230" s="15">
        <v>273</v>
      </c>
      <c r="B230" s="16" t="s">
        <v>690</v>
      </c>
      <c r="C230" s="7">
        <v>213.4</v>
      </c>
      <c r="D230" s="50" t="s">
        <v>1043</v>
      </c>
      <c r="E230" s="7">
        <v>0.3</v>
      </c>
      <c r="F230" s="18">
        <v>7.2</v>
      </c>
      <c r="G230" s="19">
        <v>21</v>
      </c>
      <c r="H230" s="20" t="s">
        <v>547</v>
      </c>
      <c r="I230" s="5" t="s">
        <v>683</v>
      </c>
      <c r="J230" s="19" t="s">
        <v>469</v>
      </c>
      <c r="K230" s="19" t="s">
        <v>337</v>
      </c>
      <c r="L230" s="19" t="s">
        <v>844</v>
      </c>
      <c r="M230" s="22">
        <v>66</v>
      </c>
      <c r="N230" s="5" t="s">
        <v>845</v>
      </c>
      <c r="O230" s="5">
        <v>2018</v>
      </c>
      <c r="P230" s="20" t="s">
        <v>846</v>
      </c>
    </row>
    <row r="231" spans="1:16" x14ac:dyDescent="0.2">
      <c r="A231" s="15">
        <v>153</v>
      </c>
      <c r="B231" s="16" t="s">
        <v>648</v>
      </c>
      <c r="C231" s="7">
        <v>357.2</v>
      </c>
      <c r="D231" s="50" t="s">
        <v>1019</v>
      </c>
      <c r="E231" s="7">
        <v>17.5</v>
      </c>
      <c r="F231" s="18">
        <v>7.2</v>
      </c>
      <c r="G231" s="19">
        <v>20</v>
      </c>
      <c r="H231" s="20" t="s">
        <v>547</v>
      </c>
      <c r="I231" s="5" t="s">
        <v>548</v>
      </c>
      <c r="J231" s="19" t="s">
        <v>469</v>
      </c>
      <c r="K231" s="19" t="s">
        <v>649</v>
      </c>
      <c r="L231" s="19" t="s">
        <v>650</v>
      </c>
      <c r="M231" s="22">
        <v>32</v>
      </c>
      <c r="N231" s="5" t="s">
        <v>651</v>
      </c>
      <c r="O231" s="5">
        <v>2007</v>
      </c>
      <c r="P231" s="20" t="s">
        <v>652</v>
      </c>
    </row>
    <row r="232" spans="1:16" x14ac:dyDescent="0.2">
      <c r="A232" s="15">
        <v>165</v>
      </c>
      <c r="B232" s="16" t="s">
        <v>648</v>
      </c>
      <c r="C232" s="7">
        <v>408</v>
      </c>
      <c r="D232" s="50" t="s">
        <v>970</v>
      </c>
      <c r="E232" s="7"/>
      <c r="F232" s="18">
        <v>7.6</v>
      </c>
      <c r="G232" s="19">
        <v>22</v>
      </c>
      <c r="H232" s="20" t="s">
        <v>484</v>
      </c>
      <c r="I232" s="5" t="s">
        <v>683</v>
      </c>
      <c r="J232" s="19" t="s">
        <v>469</v>
      </c>
      <c r="K232" s="19" t="s">
        <v>476</v>
      </c>
      <c r="L232" s="19" t="s">
        <v>684</v>
      </c>
      <c r="M232" s="22">
        <v>39</v>
      </c>
      <c r="N232" s="5" t="s">
        <v>685</v>
      </c>
      <c r="O232" s="5">
        <v>2010</v>
      </c>
      <c r="P232" s="20" t="s">
        <v>686</v>
      </c>
    </row>
    <row r="233" spans="1:16" x14ac:dyDescent="0.2">
      <c r="A233" s="15">
        <v>267</v>
      </c>
      <c r="B233" s="16" t="s">
        <v>648</v>
      </c>
      <c r="C233" s="7">
        <v>289.89999999999998</v>
      </c>
      <c r="D233" s="50" t="s">
        <v>970</v>
      </c>
      <c r="E233" s="7"/>
      <c r="F233" s="18">
        <v>5.6</v>
      </c>
      <c r="G233" s="19">
        <v>23</v>
      </c>
      <c r="H233" s="20" t="s">
        <v>489</v>
      </c>
      <c r="I233" s="5" t="s">
        <v>831</v>
      </c>
      <c r="J233" s="19" t="s">
        <v>469</v>
      </c>
      <c r="K233" s="19" t="s">
        <v>832</v>
      </c>
      <c r="L233" s="19" t="s">
        <v>833</v>
      </c>
      <c r="M233" s="22">
        <v>63</v>
      </c>
      <c r="N233" s="5" t="s">
        <v>834</v>
      </c>
      <c r="O233" s="5">
        <v>2017</v>
      </c>
      <c r="P233" s="20" t="s">
        <v>835</v>
      </c>
    </row>
    <row r="234" spans="1:16" ht="45" x14ac:dyDescent="0.2">
      <c r="A234" s="15">
        <v>271</v>
      </c>
      <c r="B234" s="16" t="s">
        <v>648</v>
      </c>
      <c r="C234" s="7">
        <v>386.2</v>
      </c>
      <c r="D234" s="50" t="s">
        <v>1043</v>
      </c>
      <c r="E234" s="7">
        <v>0.4</v>
      </c>
      <c r="F234" s="18">
        <v>7.2</v>
      </c>
      <c r="G234" s="19">
        <v>21</v>
      </c>
      <c r="H234" s="20" t="s">
        <v>547</v>
      </c>
      <c r="I234" s="5" t="s">
        <v>683</v>
      </c>
      <c r="J234" s="19" t="s">
        <v>469</v>
      </c>
      <c r="K234" s="19" t="s">
        <v>337</v>
      </c>
      <c r="L234" s="19" t="s">
        <v>844</v>
      </c>
      <c r="M234" s="22">
        <v>66</v>
      </c>
      <c r="N234" s="5" t="s">
        <v>845</v>
      </c>
      <c r="O234" s="5">
        <v>2018</v>
      </c>
      <c r="P234" s="20" t="s">
        <v>846</v>
      </c>
    </row>
    <row r="235" spans="1:16" x14ac:dyDescent="0.2">
      <c r="A235" s="15">
        <v>293</v>
      </c>
      <c r="B235" s="16" t="s">
        <v>648</v>
      </c>
      <c r="C235" s="7">
        <v>272</v>
      </c>
      <c r="D235" s="50" t="s">
        <v>971</v>
      </c>
      <c r="E235" s="7">
        <v>23</v>
      </c>
      <c r="F235" s="18">
        <v>5.6</v>
      </c>
      <c r="G235" s="19">
        <v>23</v>
      </c>
      <c r="H235" s="20" t="s">
        <v>489</v>
      </c>
      <c r="I235" s="5" t="s">
        <v>548</v>
      </c>
      <c r="J235" s="19" t="s">
        <v>469</v>
      </c>
      <c r="K235" s="19" t="s">
        <v>423</v>
      </c>
      <c r="L235" s="19" t="s">
        <v>874</v>
      </c>
      <c r="M235" s="22">
        <v>73</v>
      </c>
      <c r="N235" s="5" t="s">
        <v>875</v>
      </c>
      <c r="O235" s="5">
        <v>2019</v>
      </c>
      <c r="P235" s="20" t="s">
        <v>876</v>
      </c>
    </row>
    <row r="236" spans="1:16" ht="75" x14ac:dyDescent="0.2">
      <c r="A236" s="15">
        <v>310</v>
      </c>
      <c r="B236" s="16" t="s">
        <v>648</v>
      </c>
      <c r="C236" s="7">
        <v>320</v>
      </c>
      <c r="D236" s="50" t="s">
        <v>1045</v>
      </c>
      <c r="E236" s="7">
        <v>20</v>
      </c>
      <c r="F236" s="18">
        <v>6.8</v>
      </c>
      <c r="G236" s="19">
        <v>18</v>
      </c>
      <c r="H236" s="20" t="s">
        <v>903</v>
      </c>
      <c r="I236" s="34" t="s">
        <v>548</v>
      </c>
      <c r="J236" s="19" t="s">
        <v>469</v>
      </c>
      <c r="K236" s="19">
        <v>250</v>
      </c>
      <c r="L236" s="33">
        <v>1.2999999999999999E-5</v>
      </c>
      <c r="M236" s="22">
        <v>77</v>
      </c>
      <c r="N236" s="5" t="s">
        <v>904</v>
      </c>
      <c r="O236" s="5">
        <v>2019</v>
      </c>
      <c r="P236" s="20" t="s">
        <v>905</v>
      </c>
    </row>
    <row r="237" spans="1:16" x14ac:dyDescent="0.2">
      <c r="A237" s="15">
        <v>169</v>
      </c>
      <c r="B237" s="16" t="s">
        <v>692</v>
      </c>
      <c r="C237" s="7">
        <v>273</v>
      </c>
      <c r="D237" s="50" t="s">
        <v>970</v>
      </c>
      <c r="E237" s="7"/>
      <c r="F237" s="18">
        <v>7.6</v>
      </c>
      <c r="G237" s="19">
        <v>22</v>
      </c>
      <c r="H237" s="20" t="s">
        <v>484</v>
      </c>
      <c r="I237" s="5" t="s">
        <v>683</v>
      </c>
      <c r="J237" s="19" t="s">
        <v>469</v>
      </c>
      <c r="K237" s="19" t="s">
        <v>476</v>
      </c>
      <c r="L237" s="19" t="s">
        <v>693</v>
      </c>
      <c r="M237" s="22">
        <v>39</v>
      </c>
      <c r="N237" s="5" t="s">
        <v>685</v>
      </c>
      <c r="O237" s="5">
        <v>2010</v>
      </c>
      <c r="P237" s="20" t="s">
        <v>686</v>
      </c>
    </row>
    <row r="238" spans="1:16" ht="45" x14ac:dyDescent="0.2">
      <c r="A238" s="15">
        <v>274</v>
      </c>
      <c r="B238" s="16" t="s">
        <v>692</v>
      </c>
      <c r="C238" s="7">
        <v>201.7</v>
      </c>
      <c r="D238" s="50" t="s">
        <v>1043</v>
      </c>
      <c r="E238" s="7">
        <v>2.6</v>
      </c>
      <c r="F238" s="18">
        <v>7.2</v>
      </c>
      <c r="G238" s="19">
        <v>21</v>
      </c>
      <c r="H238" s="20" t="s">
        <v>547</v>
      </c>
      <c r="I238" s="5" t="s">
        <v>683</v>
      </c>
      <c r="J238" s="19" t="s">
        <v>469</v>
      </c>
      <c r="K238" s="19" t="s">
        <v>337</v>
      </c>
      <c r="L238" s="19" t="s">
        <v>844</v>
      </c>
      <c r="M238" s="22">
        <v>66</v>
      </c>
      <c r="N238" s="5" t="s">
        <v>845</v>
      </c>
      <c r="O238" s="5">
        <v>2018</v>
      </c>
      <c r="P238" s="20" t="s">
        <v>846</v>
      </c>
    </row>
    <row r="239" spans="1:16" ht="30" x14ac:dyDescent="0.2">
      <c r="A239" s="15">
        <v>128</v>
      </c>
      <c r="B239" s="16" t="s">
        <v>599</v>
      </c>
      <c r="C239" s="7">
        <f>0.207*1000*158/60</f>
        <v>545.1</v>
      </c>
      <c r="D239" s="50" t="s">
        <v>1046</v>
      </c>
      <c r="E239" s="7">
        <f>0.061/1.127*C239</f>
        <v>29.504081632653062</v>
      </c>
      <c r="F239" s="18">
        <v>6.7</v>
      </c>
      <c r="G239" s="19">
        <v>25</v>
      </c>
      <c r="H239" s="20" t="s">
        <v>476</v>
      </c>
      <c r="I239" s="5" t="s">
        <v>548</v>
      </c>
      <c r="J239" s="19" t="s">
        <v>469</v>
      </c>
      <c r="K239" s="19" t="s">
        <v>600</v>
      </c>
      <c r="L239" s="19" t="s">
        <v>601</v>
      </c>
      <c r="M239" s="22">
        <v>29</v>
      </c>
      <c r="N239" s="5" t="s">
        <v>602</v>
      </c>
      <c r="O239" s="5">
        <v>2005</v>
      </c>
      <c r="P239" s="20" t="s">
        <v>603</v>
      </c>
    </row>
    <row r="240" spans="1:16" x14ac:dyDescent="0.2">
      <c r="A240" s="15">
        <v>154</v>
      </c>
      <c r="B240" s="16" t="s">
        <v>599</v>
      </c>
      <c r="C240" s="7">
        <v>418</v>
      </c>
      <c r="D240" s="50" t="s">
        <v>970</v>
      </c>
      <c r="E240" s="7"/>
      <c r="F240" s="18">
        <v>7.2</v>
      </c>
      <c r="G240" s="19">
        <v>20</v>
      </c>
      <c r="H240" s="20" t="s">
        <v>547</v>
      </c>
      <c r="I240" s="5" t="s">
        <v>548</v>
      </c>
      <c r="J240" s="19" t="s">
        <v>653</v>
      </c>
      <c r="K240" s="19" t="s">
        <v>393</v>
      </c>
      <c r="L240" s="21" t="s">
        <v>393</v>
      </c>
      <c r="M240" s="22">
        <v>32</v>
      </c>
      <c r="N240" s="5" t="s">
        <v>651</v>
      </c>
      <c r="O240" s="5">
        <v>2007</v>
      </c>
      <c r="P240" s="20" t="s">
        <v>652</v>
      </c>
    </row>
    <row r="241" spans="1:16" x14ac:dyDescent="0.2">
      <c r="A241" s="15">
        <v>166</v>
      </c>
      <c r="B241" s="16" t="s">
        <v>599</v>
      </c>
      <c r="C241" s="7">
        <v>470</v>
      </c>
      <c r="D241" s="50" t="s">
        <v>970</v>
      </c>
      <c r="E241" s="7"/>
      <c r="F241" s="18">
        <v>7.6</v>
      </c>
      <c r="G241" s="19">
        <v>22</v>
      </c>
      <c r="H241" s="20" t="s">
        <v>484</v>
      </c>
      <c r="I241" s="5" t="s">
        <v>683</v>
      </c>
      <c r="J241" s="19" t="s">
        <v>469</v>
      </c>
      <c r="K241" s="19" t="s">
        <v>476</v>
      </c>
      <c r="L241" s="19" t="s">
        <v>687</v>
      </c>
      <c r="M241" s="22">
        <v>39</v>
      </c>
      <c r="N241" s="5" t="s">
        <v>685</v>
      </c>
      <c r="O241" s="5">
        <v>2010</v>
      </c>
      <c r="P241" s="20" t="s">
        <v>686</v>
      </c>
    </row>
    <row r="242" spans="1:16" ht="45" x14ac:dyDescent="0.2">
      <c r="A242" s="15">
        <v>270</v>
      </c>
      <c r="B242" s="16" t="s">
        <v>599</v>
      </c>
      <c r="C242" s="7">
        <v>520.1</v>
      </c>
      <c r="D242" s="50" t="s">
        <v>1043</v>
      </c>
      <c r="E242" s="7">
        <v>8.6</v>
      </c>
      <c r="F242" s="18">
        <v>7.2</v>
      </c>
      <c r="G242" s="19">
        <v>21</v>
      </c>
      <c r="H242" s="20" t="s">
        <v>547</v>
      </c>
      <c r="I242" s="5" t="s">
        <v>683</v>
      </c>
      <c r="J242" s="19" t="s">
        <v>469</v>
      </c>
      <c r="K242" s="19" t="s">
        <v>337</v>
      </c>
      <c r="L242" s="19" t="s">
        <v>844</v>
      </c>
      <c r="M242" s="22">
        <v>66</v>
      </c>
      <c r="N242" s="5" t="s">
        <v>845</v>
      </c>
      <c r="O242" s="5">
        <v>2018</v>
      </c>
      <c r="P242" s="20" t="s">
        <v>846</v>
      </c>
    </row>
    <row r="243" spans="1:16" x14ac:dyDescent="0.2">
      <c r="A243" s="15">
        <v>311</v>
      </c>
      <c r="B243" s="16" t="s">
        <v>599</v>
      </c>
      <c r="C243" s="7">
        <v>467</v>
      </c>
      <c r="D243" s="50" t="s">
        <v>970</v>
      </c>
      <c r="E243" s="7"/>
      <c r="F243" s="18">
        <v>6.8</v>
      </c>
      <c r="G243" s="19">
        <v>18</v>
      </c>
      <c r="H243" s="20" t="s">
        <v>903</v>
      </c>
      <c r="I243" s="34" t="s">
        <v>548</v>
      </c>
      <c r="J243" s="19" t="s">
        <v>469</v>
      </c>
      <c r="K243" s="19">
        <v>250</v>
      </c>
      <c r="L243" s="33">
        <v>1.2999999999999999E-5</v>
      </c>
      <c r="M243" s="22">
        <v>77</v>
      </c>
      <c r="N243" s="5" t="s">
        <v>904</v>
      </c>
      <c r="O243" s="5">
        <v>2019</v>
      </c>
      <c r="P243" s="20" t="s">
        <v>905</v>
      </c>
    </row>
    <row r="244" spans="1:16" x14ac:dyDescent="0.2">
      <c r="A244" s="15">
        <v>155</v>
      </c>
      <c r="B244" s="16" t="s">
        <v>654</v>
      </c>
      <c r="C244" s="7">
        <v>405.9</v>
      </c>
      <c r="D244" s="50" t="s">
        <v>970</v>
      </c>
      <c r="E244" s="7"/>
      <c r="F244" s="18">
        <v>7.2</v>
      </c>
      <c r="G244" s="19">
        <v>20</v>
      </c>
      <c r="H244" s="20" t="s">
        <v>547</v>
      </c>
      <c r="I244" s="5" t="s">
        <v>548</v>
      </c>
      <c r="J244" s="19" t="s">
        <v>653</v>
      </c>
      <c r="K244" s="19" t="s">
        <v>393</v>
      </c>
      <c r="L244" s="21" t="s">
        <v>393</v>
      </c>
      <c r="M244" s="22">
        <v>32</v>
      </c>
      <c r="N244" s="5" t="s">
        <v>651</v>
      </c>
      <c r="O244" s="5">
        <v>2007</v>
      </c>
      <c r="P244" s="20" t="s">
        <v>652</v>
      </c>
    </row>
    <row r="245" spans="1:16" x14ac:dyDescent="0.2">
      <c r="A245" s="15">
        <v>170</v>
      </c>
      <c r="B245" s="16" t="s">
        <v>654</v>
      </c>
      <c r="C245" s="7">
        <v>396</v>
      </c>
      <c r="D245" s="50" t="s">
        <v>970</v>
      </c>
      <c r="E245" s="7"/>
      <c r="F245" s="18">
        <v>7.6</v>
      </c>
      <c r="G245" s="19">
        <v>22</v>
      </c>
      <c r="H245" s="20" t="s">
        <v>484</v>
      </c>
      <c r="I245" s="5" t="s">
        <v>683</v>
      </c>
      <c r="J245" s="19" t="s">
        <v>469</v>
      </c>
      <c r="K245" s="19" t="s">
        <v>476</v>
      </c>
      <c r="L245" s="19" t="s">
        <v>694</v>
      </c>
      <c r="M245" s="22">
        <v>39</v>
      </c>
      <c r="N245" s="5" t="s">
        <v>685</v>
      </c>
      <c r="O245" s="5">
        <v>2010</v>
      </c>
      <c r="P245" s="20" t="s">
        <v>686</v>
      </c>
    </row>
    <row r="246" spans="1:16" ht="45" x14ac:dyDescent="0.2">
      <c r="A246" s="15">
        <v>272</v>
      </c>
      <c r="B246" s="16" t="s">
        <v>654</v>
      </c>
      <c r="C246" s="7">
        <v>382.1</v>
      </c>
      <c r="D246" s="50" t="s">
        <v>1043</v>
      </c>
      <c r="E246" s="7">
        <v>1.2</v>
      </c>
      <c r="F246" s="18">
        <v>7.2</v>
      </c>
      <c r="G246" s="19">
        <v>21</v>
      </c>
      <c r="H246" s="20" t="s">
        <v>547</v>
      </c>
      <c r="I246" s="5" t="s">
        <v>683</v>
      </c>
      <c r="J246" s="19" t="s">
        <v>469</v>
      </c>
      <c r="K246" s="19" t="s">
        <v>337</v>
      </c>
      <c r="L246" s="19" t="s">
        <v>844</v>
      </c>
      <c r="M246" s="22">
        <v>66</v>
      </c>
      <c r="N246" s="5" t="s">
        <v>845</v>
      </c>
      <c r="O246" s="5">
        <v>2018</v>
      </c>
      <c r="P246" s="20" t="s">
        <v>846</v>
      </c>
    </row>
    <row r="247" spans="1:16" x14ac:dyDescent="0.2">
      <c r="A247" s="15">
        <v>207</v>
      </c>
      <c r="B247" s="16" t="s">
        <v>730</v>
      </c>
      <c r="C247" s="26">
        <v>0.04</v>
      </c>
      <c r="D247" s="49" t="s">
        <v>1016</v>
      </c>
      <c r="E247" s="26">
        <f>1.2/8.9*C247</f>
        <v>5.3932584269662919E-3</v>
      </c>
      <c r="F247" s="18">
        <v>7</v>
      </c>
      <c r="G247" s="19" t="s">
        <v>476</v>
      </c>
      <c r="H247" s="20" t="s">
        <v>432</v>
      </c>
      <c r="I247" s="5" t="s">
        <v>325</v>
      </c>
      <c r="J247" s="19" t="s">
        <v>326</v>
      </c>
      <c r="K247" s="19">
        <v>5</v>
      </c>
      <c r="L247" s="19">
        <v>2.5000000000000001E-4</v>
      </c>
      <c r="M247" s="22">
        <v>40</v>
      </c>
      <c r="N247" s="5" t="s">
        <v>696</v>
      </c>
      <c r="O247" s="5">
        <v>2010</v>
      </c>
      <c r="P247" s="20" t="s">
        <v>697</v>
      </c>
    </row>
    <row r="248" spans="1:16" x14ac:dyDescent="0.2">
      <c r="A248" s="15">
        <v>198</v>
      </c>
      <c r="B248" s="16" t="s">
        <v>721</v>
      </c>
      <c r="C248" s="23">
        <v>0.84</v>
      </c>
      <c r="D248" s="46" t="s">
        <v>1016</v>
      </c>
      <c r="E248" s="23">
        <f>0.01/0.21*C248</f>
        <v>0.04</v>
      </c>
      <c r="F248" s="18">
        <v>7</v>
      </c>
      <c r="G248" s="19" t="s">
        <v>476</v>
      </c>
      <c r="H248" s="20" t="s">
        <v>432</v>
      </c>
      <c r="I248" s="5" t="s">
        <v>325</v>
      </c>
      <c r="J248" s="19" t="s">
        <v>326</v>
      </c>
      <c r="K248" s="19">
        <v>5</v>
      </c>
      <c r="L248" s="19">
        <v>2.5000000000000001E-4</v>
      </c>
      <c r="M248" s="22">
        <v>40</v>
      </c>
      <c r="N248" s="5" t="s">
        <v>696</v>
      </c>
      <c r="O248" s="5">
        <v>2010</v>
      </c>
      <c r="P248" s="20" t="s">
        <v>697</v>
      </c>
    </row>
    <row r="249" spans="1:16" ht="120" x14ac:dyDescent="0.2">
      <c r="A249" s="15">
        <v>112</v>
      </c>
      <c r="B249" s="16" t="s">
        <v>562</v>
      </c>
      <c r="C249" s="26">
        <v>1.0999999999999999E-2</v>
      </c>
      <c r="D249" s="49" t="s">
        <v>966</v>
      </c>
      <c r="E249" s="26">
        <v>2E-3</v>
      </c>
      <c r="F249" s="18">
        <v>5.6</v>
      </c>
      <c r="G249" s="19">
        <v>21</v>
      </c>
      <c r="H249" s="20" t="s">
        <v>489</v>
      </c>
      <c r="I249" s="5" t="s">
        <v>514</v>
      </c>
      <c r="J249" s="19" t="s">
        <v>469</v>
      </c>
      <c r="K249" s="19" t="s">
        <v>563</v>
      </c>
      <c r="L249" s="19" t="s">
        <v>564</v>
      </c>
      <c r="M249" s="22">
        <v>28</v>
      </c>
      <c r="N249" s="5" t="s">
        <v>560</v>
      </c>
      <c r="O249" s="5">
        <v>2004</v>
      </c>
      <c r="P249" s="20" t="s">
        <v>561</v>
      </c>
    </row>
    <row r="250" spans="1:16" ht="51" x14ac:dyDescent="0.2">
      <c r="A250" s="15">
        <v>245</v>
      </c>
      <c r="B250" s="16" t="s">
        <v>783</v>
      </c>
      <c r="C250" s="17">
        <v>219</v>
      </c>
      <c r="D250" s="43" t="s">
        <v>1041</v>
      </c>
      <c r="E250" s="17">
        <v>13</v>
      </c>
      <c r="F250" s="18">
        <v>6</v>
      </c>
      <c r="G250" s="19">
        <v>22</v>
      </c>
      <c r="H250" s="20" t="s">
        <v>432</v>
      </c>
      <c r="I250" s="5" t="s">
        <v>777</v>
      </c>
      <c r="J250" s="19" t="s">
        <v>469</v>
      </c>
      <c r="K250" s="19" t="s">
        <v>778</v>
      </c>
      <c r="L250" s="32" t="s">
        <v>779</v>
      </c>
      <c r="M250" s="22">
        <v>50</v>
      </c>
      <c r="N250" s="5" t="s">
        <v>780</v>
      </c>
      <c r="O250" s="5">
        <v>2013</v>
      </c>
      <c r="P250" s="20" t="s">
        <v>781</v>
      </c>
    </row>
    <row r="251" spans="1:16" x14ac:dyDescent="0.2">
      <c r="A251" s="15">
        <v>197</v>
      </c>
      <c r="B251" s="16" t="s">
        <v>720</v>
      </c>
      <c r="C251" s="23">
        <v>0.84</v>
      </c>
      <c r="D251" s="46" t="s">
        <v>1016</v>
      </c>
      <c r="E251" s="23">
        <f>0.02/0.21*C251</f>
        <v>0.08</v>
      </c>
      <c r="F251" s="18">
        <v>7</v>
      </c>
      <c r="G251" s="19" t="s">
        <v>476</v>
      </c>
      <c r="H251" s="20" t="s">
        <v>432</v>
      </c>
      <c r="I251" s="5" t="s">
        <v>325</v>
      </c>
      <c r="J251" s="19" t="s">
        <v>326</v>
      </c>
      <c r="K251" s="19">
        <v>5</v>
      </c>
      <c r="L251" s="19">
        <v>2.5000000000000001E-4</v>
      </c>
      <c r="M251" s="22">
        <v>40</v>
      </c>
      <c r="N251" s="5" t="s">
        <v>696</v>
      </c>
      <c r="O251" s="5">
        <v>2010</v>
      </c>
      <c r="P251" s="20" t="s">
        <v>697</v>
      </c>
    </row>
    <row r="252" spans="1:16" x14ac:dyDescent="0.2">
      <c r="A252" s="15">
        <v>184</v>
      </c>
      <c r="B252" s="16" t="s">
        <v>708</v>
      </c>
      <c r="C252" s="23">
        <v>4.4000000000000004</v>
      </c>
      <c r="D252" s="46" t="s">
        <v>1016</v>
      </c>
      <c r="E252" s="23">
        <f>0.09/1.1*C252</f>
        <v>0.36</v>
      </c>
      <c r="F252" s="18">
        <v>7</v>
      </c>
      <c r="G252" s="19" t="s">
        <v>476</v>
      </c>
      <c r="H252" s="20" t="s">
        <v>432</v>
      </c>
      <c r="I252" s="5" t="s">
        <v>325</v>
      </c>
      <c r="J252" s="19" t="s">
        <v>326</v>
      </c>
      <c r="K252" s="19">
        <v>5</v>
      </c>
      <c r="L252" s="19">
        <v>2.5000000000000001E-4</v>
      </c>
      <c r="M252" s="22">
        <v>40</v>
      </c>
      <c r="N252" s="5" t="s">
        <v>696</v>
      </c>
      <c r="O252" s="5">
        <v>2010</v>
      </c>
      <c r="P252" s="20" t="s">
        <v>697</v>
      </c>
    </row>
    <row r="253" spans="1:16" x14ac:dyDescent="0.2">
      <c r="A253" s="15">
        <v>185</v>
      </c>
      <c r="B253" s="16" t="s">
        <v>708</v>
      </c>
      <c r="C253" s="23">
        <v>2.12</v>
      </c>
      <c r="D253" s="46" t="s">
        <v>1016</v>
      </c>
      <c r="E253" s="23">
        <f>0.06/0.53*C253</f>
        <v>0.24</v>
      </c>
      <c r="F253" s="18">
        <v>7</v>
      </c>
      <c r="G253" s="19" t="s">
        <v>476</v>
      </c>
      <c r="H253" s="20" t="s">
        <v>432</v>
      </c>
      <c r="I253" s="5" t="s">
        <v>325</v>
      </c>
      <c r="J253" s="19" t="s">
        <v>326</v>
      </c>
      <c r="K253" s="19">
        <v>5</v>
      </c>
      <c r="L253" s="19">
        <v>2.5000000000000001E-4</v>
      </c>
      <c r="M253" s="22">
        <v>40</v>
      </c>
      <c r="N253" s="5" t="s">
        <v>696</v>
      </c>
      <c r="O253" s="5">
        <v>2010</v>
      </c>
      <c r="P253" s="20" t="s">
        <v>697</v>
      </c>
    </row>
    <row r="254" spans="1:16" x14ac:dyDescent="0.2">
      <c r="A254" s="15">
        <v>18</v>
      </c>
      <c r="B254" s="16" t="s">
        <v>372</v>
      </c>
      <c r="C254" s="7">
        <v>70</v>
      </c>
      <c r="D254" s="50" t="s">
        <v>970</v>
      </c>
      <c r="E254" s="17"/>
      <c r="F254" s="18">
        <v>13</v>
      </c>
      <c r="G254" s="19">
        <v>25</v>
      </c>
      <c r="H254" s="20" t="s">
        <v>345</v>
      </c>
      <c r="I254" s="5" t="s">
        <v>325</v>
      </c>
      <c r="J254" s="19" t="s">
        <v>326</v>
      </c>
      <c r="K254" s="19" t="s">
        <v>373</v>
      </c>
      <c r="L254" s="19" t="s">
        <v>374</v>
      </c>
      <c r="M254" s="22">
        <v>2</v>
      </c>
      <c r="N254" s="5" t="s">
        <v>327</v>
      </c>
      <c r="O254" s="5">
        <v>1966</v>
      </c>
      <c r="P254" s="20" t="s">
        <v>343</v>
      </c>
    </row>
    <row r="255" spans="1:16" x14ac:dyDescent="0.2">
      <c r="A255" s="15">
        <v>179</v>
      </c>
      <c r="B255" s="16" t="s">
        <v>703</v>
      </c>
      <c r="C255" s="17">
        <v>53.6</v>
      </c>
      <c r="D255" s="48" t="s">
        <v>1016</v>
      </c>
      <c r="E255" s="17">
        <f>4.47/13.4*C255</f>
        <v>17.88</v>
      </c>
      <c r="F255" s="18">
        <v>7</v>
      </c>
      <c r="G255" s="19" t="s">
        <v>476</v>
      </c>
      <c r="H255" s="20" t="s">
        <v>432</v>
      </c>
      <c r="I255" s="5" t="s">
        <v>325</v>
      </c>
      <c r="J255" s="19" t="s">
        <v>326</v>
      </c>
      <c r="K255" s="19">
        <v>5</v>
      </c>
      <c r="L255" s="19">
        <v>2.5000000000000001E-4</v>
      </c>
      <c r="M255" s="22">
        <v>40</v>
      </c>
      <c r="N255" s="5" t="s">
        <v>696</v>
      </c>
      <c r="O255" s="5">
        <v>2010</v>
      </c>
      <c r="P255" s="20" t="s">
        <v>697</v>
      </c>
    </row>
    <row r="256" spans="1:16" x14ac:dyDescent="0.2">
      <c r="A256" s="15">
        <v>236</v>
      </c>
      <c r="B256" s="16" t="s">
        <v>764</v>
      </c>
      <c r="C256" s="23">
        <v>0.37</v>
      </c>
      <c r="D256" s="46" t="s">
        <v>970</v>
      </c>
      <c r="E256" s="23"/>
      <c r="F256" s="18">
        <v>7</v>
      </c>
      <c r="G256" s="19">
        <v>25</v>
      </c>
      <c r="H256" s="20" t="s">
        <v>759</v>
      </c>
      <c r="I256" s="5" t="s">
        <v>548</v>
      </c>
      <c r="J256" s="19" t="s">
        <v>469</v>
      </c>
      <c r="K256" s="19">
        <v>10</v>
      </c>
      <c r="L256" s="19">
        <v>5.0000000000000002E-5</v>
      </c>
      <c r="M256" s="22">
        <v>47</v>
      </c>
      <c r="N256" s="5" t="s">
        <v>760</v>
      </c>
      <c r="O256" s="5">
        <v>2012</v>
      </c>
      <c r="P256" s="20" t="s">
        <v>761</v>
      </c>
    </row>
    <row r="257" spans="1:16" x14ac:dyDescent="0.2">
      <c r="A257" s="15">
        <v>288</v>
      </c>
      <c r="B257" s="16" t="s">
        <v>764</v>
      </c>
      <c r="C257" s="17">
        <v>30</v>
      </c>
      <c r="D257" s="48" t="s">
        <v>970</v>
      </c>
      <c r="E257" s="17"/>
      <c r="F257" s="18">
        <v>7</v>
      </c>
      <c r="G257" s="19">
        <v>21</v>
      </c>
      <c r="H257" s="20" t="s">
        <v>855</v>
      </c>
      <c r="I257" s="5" t="s">
        <v>548</v>
      </c>
      <c r="J257" s="19" t="s">
        <v>469</v>
      </c>
      <c r="K257" s="19" t="s">
        <v>856</v>
      </c>
      <c r="L257" s="19" t="s">
        <v>342</v>
      </c>
      <c r="M257" s="22">
        <v>68</v>
      </c>
      <c r="N257" s="5" t="s">
        <v>857</v>
      </c>
      <c r="O257" s="5">
        <v>2018</v>
      </c>
      <c r="P257" s="20" t="s">
        <v>858</v>
      </c>
    </row>
    <row r="258" spans="1:16" x14ac:dyDescent="0.2">
      <c r="A258" s="15">
        <v>242</v>
      </c>
      <c r="B258" s="16" t="s">
        <v>773</v>
      </c>
      <c r="C258" s="24">
        <f>0.46/24/60/60/(0.001/158)</f>
        <v>0.84120370370370368</v>
      </c>
      <c r="D258" s="47" t="s">
        <v>970</v>
      </c>
      <c r="E258" s="24"/>
      <c r="F258" s="18">
        <v>4.2</v>
      </c>
      <c r="G258" s="19">
        <v>25</v>
      </c>
      <c r="H258" s="20" t="s">
        <v>484</v>
      </c>
      <c r="I258" s="5" t="s">
        <v>683</v>
      </c>
      <c r="J258" s="19" t="s">
        <v>469</v>
      </c>
      <c r="K258" s="7">
        <f>L258/(0.0001/500.13)</f>
        <v>31.65379746835443</v>
      </c>
      <c r="L258" s="19">
        <f>0.001/158</f>
        <v>6.3291139240506333E-6</v>
      </c>
      <c r="M258" s="22">
        <v>49</v>
      </c>
      <c r="N258" s="5" t="s">
        <v>774</v>
      </c>
      <c r="O258" s="5">
        <v>2012</v>
      </c>
      <c r="P258" s="20" t="s">
        <v>775</v>
      </c>
    </row>
    <row r="259" spans="1:16" x14ac:dyDescent="0.2">
      <c r="A259" s="15">
        <v>313</v>
      </c>
      <c r="B259" s="16" t="s">
        <v>773</v>
      </c>
      <c r="C259" s="19" t="s">
        <v>910</v>
      </c>
      <c r="D259" s="51" t="s">
        <v>970</v>
      </c>
      <c r="E259" s="19"/>
      <c r="F259" s="18">
        <v>4.5</v>
      </c>
      <c r="G259" s="19">
        <v>65</v>
      </c>
      <c r="H259" s="20" t="s">
        <v>911</v>
      </c>
      <c r="I259" s="34" t="s">
        <v>683</v>
      </c>
      <c r="J259" s="19" t="s">
        <v>469</v>
      </c>
      <c r="K259" s="7">
        <f>L259/(0.0001/538.2)</f>
        <v>172.22400000000002</v>
      </c>
      <c r="L259" s="19">
        <v>3.1999999999999999E-5</v>
      </c>
      <c r="M259" s="22">
        <v>79</v>
      </c>
      <c r="N259" s="5" t="s">
        <v>912</v>
      </c>
      <c r="O259" s="5">
        <v>2020</v>
      </c>
      <c r="P259" s="20" t="s">
        <v>913</v>
      </c>
    </row>
    <row r="260" spans="1:16" ht="120" x14ac:dyDescent="0.2">
      <c r="A260" s="15">
        <v>113</v>
      </c>
      <c r="B260" s="16" t="s">
        <v>565</v>
      </c>
      <c r="C260" s="24">
        <v>4.1999999999999997E-3</v>
      </c>
      <c r="D260" s="47" t="s">
        <v>966</v>
      </c>
      <c r="E260" s="24">
        <v>0.03</v>
      </c>
      <c r="F260" s="18">
        <v>5.6</v>
      </c>
      <c r="G260" s="19">
        <v>21</v>
      </c>
      <c r="H260" s="20" t="s">
        <v>489</v>
      </c>
      <c r="I260" s="5" t="s">
        <v>514</v>
      </c>
      <c r="J260" s="19" t="s">
        <v>469</v>
      </c>
      <c r="K260" s="19" t="s">
        <v>566</v>
      </c>
      <c r="L260" s="19" t="s">
        <v>567</v>
      </c>
      <c r="M260" s="22">
        <v>28</v>
      </c>
      <c r="N260" s="5" t="s">
        <v>560</v>
      </c>
      <c r="O260" s="5">
        <v>2004</v>
      </c>
      <c r="P260" s="20" t="s">
        <v>561</v>
      </c>
    </row>
    <row r="261" spans="1:16" x14ac:dyDescent="0.2">
      <c r="A261" s="15">
        <v>70</v>
      </c>
      <c r="B261" s="16" t="s">
        <v>463</v>
      </c>
      <c r="C261" s="26">
        <v>2.1299999999999999E-2</v>
      </c>
      <c r="D261" s="49" t="s">
        <v>970</v>
      </c>
      <c r="E261" s="23"/>
      <c r="F261" s="18">
        <v>7</v>
      </c>
      <c r="G261" s="19">
        <v>25</v>
      </c>
      <c r="H261" s="20" t="s">
        <v>458</v>
      </c>
      <c r="I261" s="5" t="s">
        <v>325</v>
      </c>
      <c r="J261" s="19" t="s">
        <v>326</v>
      </c>
      <c r="K261" s="19">
        <f>L261/0.000231</f>
        <v>10.389610389610388</v>
      </c>
      <c r="L261" s="19">
        <v>2.3999999999999998E-3</v>
      </c>
      <c r="M261" s="22">
        <v>14</v>
      </c>
      <c r="N261" s="5" t="s">
        <v>459</v>
      </c>
      <c r="O261" s="5">
        <v>1996</v>
      </c>
      <c r="P261" s="20" t="s">
        <v>460</v>
      </c>
    </row>
    <row r="262" spans="1:16" x14ac:dyDescent="0.2">
      <c r="A262" s="15">
        <v>105</v>
      </c>
      <c r="B262" s="16" t="s">
        <v>537</v>
      </c>
      <c r="C262" s="17">
        <f>0.027/60/(0.002/158)</f>
        <v>35.549999999999997</v>
      </c>
      <c r="D262" s="48" t="s">
        <v>970</v>
      </c>
      <c r="E262" s="17"/>
      <c r="F262" s="18">
        <v>7.2</v>
      </c>
      <c r="G262" s="19">
        <v>16</v>
      </c>
      <c r="H262" s="20" t="s">
        <v>538</v>
      </c>
      <c r="I262" s="5" t="s">
        <v>539</v>
      </c>
      <c r="J262" s="19" t="s">
        <v>469</v>
      </c>
      <c r="K262" s="7">
        <f>13/(100/94)</f>
        <v>12.22</v>
      </c>
      <c r="L262" s="19">
        <v>1.2999999999999999E-5</v>
      </c>
      <c r="M262" s="22">
        <v>25</v>
      </c>
      <c r="N262" s="5" t="s">
        <v>540</v>
      </c>
      <c r="O262" s="5">
        <v>2003</v>
      </c>
      <c r="P262" s="20" t="s">
        <v>541</v>
      </c>
    </row>
    <row r="263" spans="1:16" x14ac:dyDescent="0.2">
      <c r="A263" s="15">
        <v>159</v>
      </c>
      <c r="B263" s="16" t="s">
        <v>537</v>
      </c>
      <c r="C263" s="23">
        <v>4.4000000000000004</v>
      </c>
      <c r="D263" s="46" t="s">
        <v>970</v>
      </c>
      <c r="E263" s="23"/>
      <c r="F263" s="18">
        <v>7</v>
      </c>
      <c r="G263" s="19">
        <v>19</v>
      </c>
      <c r="H263" s="20" t="s">
        <v>666</v>
      </c>
      <c r="I263" s="5" t="s">
        <v>548</v>
      </c>
      <c r="J263" s="19" t="s">
        <v>469</v>
      </c>
      <c r="K263" s="19">
        <v>5</v>
      </c>
      <c r="L263" s="19">
        <v>5.0000000000000002E-5</v>
      </c>
      <c r="M263" s="22">
        <v>35</v>
      </c>
      <c r="N263" s="5" t="s">
        <v>667</v>
      </c>
      <c r="O263" s="5">
        <v>2009</v>
      </c>
      <c r="P263" s="20" t="s">
        <v>668</v>
      </c>
    </row>
    <row r="264" spans="1:16" ht="45" x14ac:dyDescent="0.2">
      <c r="A264" s="15">
        <v>162</v>
      </c>
      <c r="B264" s="16" t="s">
        <v>537</v>
      </c>
      <c r="C264" s="23">
        <v>6.14</v>
      </c>
      <c r="D264" s="46" t="s">
        <v>991</v>
      </c>
      <c r="E264" s="23">
        <f>0.05*C264</f>
        <v>0.307</v>
      </c>
      <c r="F264" s="18">
        <v>7</v>
      </c>
      <c r="G264" s="19">
        <v>23</v>
      </c>
      <c r="H264" s="20" t="s">
        <v>675</v>
      </c>
      <c r="I264" s="5" t="s">
        <v>548</v>
      </c>
      <c r="J264" s="19" t="s">
        <v>469</v>
      </c>
      <c r="K264" s="19" t="s">
        <v>476</v>
      </c>
      <c r="L264" s="19" t="s">
        <v>476</v>
      </c>
      <c r="M264" s="22">
        <v>37</v>
      </c>
      <c r="N264" s="5" t="s">
        <v>678</v>
      </c>
      <c r="O264" s="5">
        <v>2009</v>
      </c>
      <c r="P264" s="20" t="s">
        <v>679</v>
      </c>
    </row>
    <row r="265" spans="1:16" x14ac:dyDescent="0.2">
      <c r="A265" s="15">
        <v>211</v>
      </c>
      <c r="B265" s="16" t="s">
        <v>537</v>
      </c>
      <c r="C265" s="23">
        <v>4.5999999999999996</v>
      </c>
      <c r="D265" s="46" t="s">
        <v>970</v>
      </c>
      <c r="E265" s="23"/>
      <c r="F265" s="18">
        <v>7</v>
      </c>
      <c r="G265" s="19">
        <v>19</v>
      </c>
      <c r="H265" s="20" t="s">
        <v>666</v>
      </c>
      <c r="I265" s="5" t="s">
        <v>548</v>
      </c>
      <c r="J265" s="19" t="s">
        <v>469</v>
      </c>
      <c r="K265" s="19">
        <v>5</v>
      </c>
      <c r="L265" s="19">
        <v>5.0000000000000002E-5</v>
      </c>
      <c r="M265" s="22">
        <v>41</v>
      </c>
      <c r="N265" s="5" t="s">
        <v>667</v>
      </c>
      <c r="O265" s="5">
        <v>2010</v>
      </c>
      <c r="P265" s="20" t="s">
        <v>735</v>
      </c>
    </row>
    <row r="266" spans="1:16" x14ac:dyDescent="0.2">
      <c r="A266" s="15">
        <v>227</v>
      </c>
      <c r="B266" s="16" t="s">
        <v>537</v>
      </c>
      <c r="C266" s="23">
        <v>6.67</v>
      </c>
      <c r="D266" s="46" t="s">
        <v>970</v>
      </c>
      <c r="E266" s="23"/>
      <c r="F266" s="18">
        <v>7</v>
      </c>
      <c r="G266" s="19">
        <v>25</v>
      </c>
      <c r="H266" s="20" t="s">
        <v>759</v>
      </c>
      <c r="I266" s="5" t="s">
        <v>548</v>
      </c>
      <c r="J266" s="19" t="s">
        <v>469</v>
      </c>
      <c r="K266" s="19">
        <v>10</v>
      </c>
      <c r="L266" s="19">
        <v>5.0000000000000002E-5</v>
      </c>
      <c r="M266" s="22">
        <v>47</v>
      </c>
      <c r="N266" s="5" t="s">
        <v>760</v>
      </c>
      <c r="O266" s="5">
        <v>2012</v>
      </c>
      <c r="P266" s="20" t="s">
        <v>761</v>
      </c>
    </row>
    <row r="267" spans="1:16" x14ac:dyDescent="0.2">
      <c r="A267" s="15">
        <v>250</v>
      </c>
      <c r="B267" s="16" t="s">
        <v>537</v>
      </c>
      <c r="C267" s="17">
        <v>21.7</v>
      </c>
      <c r="D267" s="48" t="s">
        <v>970</v>
      </c>
      <c r="E267" s="23"/>
      <c r="F267" s="18">
        <v>7.5</v>
      </c>
      <c r="G267" s="19">
        <v>25</v>
      </c>
      <c r="H267" s="20" t="s">
        <v>792</v>
      </c>
      <c r="I267" s="5" t="s">
        <v>548</v>
      </c>
      <c r="J267" s="19" t="s">
        <v>469</v>
      </c>
      <c r="K267" s="19">
        <v>18.100000000000001</v>
      </c>
      <c r="L267" s="19">
        <v>1.8100000000000001E-4</v>
      </c>
      <c r="M267" s="22">
        <v>53</v>
      </c>
      <c r="N267" s="5" t="s">
        <v>790</v>
      </c>
      <c r="O267" s="5">
        <v>2013</v>
      </c>
      <c r="P267" s="20" t="s">
        <v>793</v>
      </c>
    </row>
    <row r="268" spans="1:16" ht="240" x14ac:dyDescent="0.2">
      <c r="A268" s="15">
        <v>280</v>
      </c>
      <c r="B268" s="16" t="s">
        <v>537</v>
      </c>
      <c r="C268" s="23">
        <v>5.5</v>
      </c>
      <c r="D268" s="46" t="s">
        <v>1003</v>
      </c>
      <c r="E268" s="23">
        <v>0.2</v>
      </c>
      <c r="F268" s="18">
        <v>7</v>
      </c>
      <c r="G268" s="19">
        <v>25</v>
      </c>
      <c r="H268" s="20" t="s">
        <v>848</v>
      </c>
      <c r="I268" s="5" t="s">
        <v>548</v>
      </c>
      <c r="J268" s="19" t="s">
        <v>469</v>
      </c>
      <c r="K268" s="19" t="s">
        <v>852</v>
      </c>
      <c r="L268" s="19" t="s">
        <v>849</v>
      </c>
      <c r="M268" s="22">
        <v>67</v>
      </c>
      <c r="N268" s="5" t="s">
        <v>850</v>
      </c>
      <c r="O268" s="5">
        <v>2018</v>
      </c>
      <c r="P268" s="20" t="s">
        <v>851</v>
      </c>
    </row>
    <row r="269" spans="1:16" ht="150" x14ac:dyDescent="0.2">
      <c r="A269" s="15">
        <v>298</v>
      </c>
      <c r="B269" s="16" t="s">
        <v>537</v>
      </c>
      <c r="C269" s="23">
        <v>1.7</v>
      </c>
      <c r="D269" s="46" t="s">
        <v>997</v>
      </c>
      <c r="E269" s="23">
        <v>0.2</v>
      </c>
      <c r="F269" s="18">
        <v>5.6</v>
      </c>
      <c r="G269" s="19">
        <v>23</v>
      </c>
      <c r="H269" s="20" t="s">
        <v>489</v>
      </c>
      <c r="I269" s="5" t="s">
        <v>325</v>
      </c>
      <c r="J269" s="19" t="s">
        <v>326</v>
      </c>
      <c r="K269" s="19" t="s">
        <v>886</v>
      </c>
      <c r="L269" s="19" t="s">
        <v>849</v>
      </c>
      <c r="M269" s="22">
        <v>74</v>
      </c>
      <c r="N269" s="5" t="s">
        <v>887</v>
      </c>
      <c r="O269" s="5">
        <v>2019</v>
      </c>
      <c r="P269" s="20" t="s">
        <v>888</v>
      </c>
    </row>
    <row r="270" spans="1:16" ht="150" x14ac:dyDescent="0.2">
      <c r="A270" s="15">
        <v>299</v>
      </c>
      <c r="B270" s="16" t="s">
        <v>537</v>
      </c>
      <c r="C270" s="23">
        <v>1.6</v>
      </c>
      <c r="D270" s="46" t="s">
        <v>997</v>
      </c>
      <c r="E270" s="23">
        <v>0.2</v>
      </c>
      <c r="F270" s="18">
        <v>5.6</v>
      </c>
      <c r="G270" s="19">
        <v>23</v>
      </c>
      <c r="H270" s="20" t="s">
        <v>489</v>
      </c>
      <c r="I270" s="5" t="s">
        <v>548</v>
      </c>
      <c r="J270" s="19" t="s">
        <v>469</v>
      </c>
      <c r="K270" s="19" t="s">
        <v>889</v>
      </c>
      <c r="L270" s="19" t="s">
        <v>881</v>
      </c>
      <c r="M270" s="22">
        <v>74</v>
      </c>
      <c r="N270" s="5" t="s">
        <v>887</v>
      </c>
      <c r="O270" s="5">
        <v>2019</v>
      </c>
      <c r="P270" s="20" t="s">
        <v>888</v>
      </c>
    </row>
    <row r="271" spans="1:16" ht="120" x14ac:dyDescent="0.2">
      <c r="A271" s="15">
        <v>317</v>
      </c>
      <c r="B271" s="16" t="s">
        <v>537</v>
      </c>
      <c r="C271" s="19">
        <v>1.39</v>
      </c>
      <c r="D271" s="51" t="s">
        <v>998</v>
      </c>
      <c r="E271" s="19">
        <v>0.42</v>
      </c>
      <c r="F271" s="18">
        <v>5.3</v>
      </c>
      <c r="G271" s="7">
        <v>23</v>
      </c>
      <c r="H271" s="20" t="s">
        <v>489</v>
      </c>
      <c r="I271" s="34" t="s">
        <v>325</v>
      </c>
      <c r="J271" s="19" t="s">
        <v>326</v>
      </c>
      <c r="K271" s="19" t="s">
        <v>926</v>
      </c>
      <c r="L271" s="19" t="s">
        <v>927</v>
      </c>
      <c r="M271" s="22">
        <v>83</v>
      </c>
      <c r="N271" s="5" t="s">
        <v>928</v>
      </c>
      <c r="O271" s="5">
        <v>2022</v>
      </c>
      <c r="P271" s="20" t="s">
        <v>929</v>
      </c>
    </row>
    <row r="272" spans="1:16" ht="60" x14ac:dyDescent="0.2">
      <c r="A272" s="15">
        <v>43</v>
      </c>
      <c r="B272" s="16" t="s">
        <v>422</v>
      </c>
      <c r="C272" s="17">
        <v>11.6</v>
      </c>
      <c r="D272" s="48" t="s">
        <v>1030</v>
      </c>
      <c r="E272" s="17">
        <f>0.05*C272</f>
        <v>0.57999999999999996</v>
      </c>
      <c r="F272" s="18">
        <v>3.77</v>
      </c>
      <c r="G272" s="19">
        <v>25</v>
      </c>
      <c r="H272" s="20" t="s">
        <v>391</v>
      </c>
      <c r="I272" s="5" t="s">
        <v>325</v>
      </c>
      <c r="J272" s="19" t="s">
        <v>326</v>
      </c>
      <c r="K272" s="19" t="s">
        <v>423</v>
      </c>
      <c r="L272" s="19" t="s">
        <v>424</v>
      </c>
      <c r="M272" s="22">
        <v>9</v>
      </c>
      <c r="N272" s="5" t="s">
        <v>388</v>
      </c>
      <c r="O272" s="5">
        <v>1977</v>
      </c>
      <c r="P272" s="20" t="s">
        <v>421</v>
      </c>
    </row>
    <row r="273" spans="1:16" x14ac:dyDescent="0.2">
      <c r="A273" s="15">
        <v>204</v>
      </c>
      <c r="B273" s="16" t="s">
        <v>727</v>
      </c>
      <c r="C273" s="23">
        <v>0.4</v>
      </c>
      <c r="D273" s="46" t="s">
        <v>1016</v>
      </c>
      <c r="E273" s="23">
        <f>0.02/0.1*C273</f>
        <v>0.08</v>
      </c>
      <c r="F273" s="18">
        <v>7</v>
      </c>
      <c r="G273" s="19" t="s">
        <v>476</v>
      </c>
      <c r="H273" s="20" t="s">
        <v>432</v>
      </c>
      <c r="I273" s="5" t="s">
        <v>325</v>
      </c>
      <c r="J273" s="19" t="s">
        <v>326</v>
      </c>
      <c r="K273" s="19">
        <v>5</v>
      </c>
      <c r="L273" s="19">
        <v>2.5000000000000001E-4</v>
      </c>
      <c r="M273" s="22">
        <v>40</v>
      </c>
      <c r="N273" s="5" t="s">
        <v>696</v>
      </c>
      <c r="O273" s="5">
        <v>2010</v>
      </c>
      <c r="P273" s="20" t="s">
        <v>697</v>
      </c>
    </row>
    <row r="274" spans="1:16" ht="45" x14ac:dyDescent="0.2">
      <c r="A274" s="15">
        <v>246</v>
      </c>
      <c r="B274" s="16" t="s">
        <v>784</v>
      </c>
      <c r="C274" s="17">
        <v>28</v>
      </c>
      <c r="D274" s="48" t="s">
        <v>1041</v>
      </c>
      <c r="E274" s="17">
        <v>2</v>
      </c>
      <c r="F274" s="18">
        <v>6</v>
      </c>
      <c r="G274" s="19">
        <v>22</v>
      </c>
      <c r="H274" s="20" t="s">
        <v>432</v>
      </c>
      <c r="I274" s="5" t="s">
        <v>777</v>
      </c>
      <c r="J274" s="19" t="s">
        <v>469</v>
      </c>
      <c r="K274" s="19" t="s">
        <v>778</v>
      </c>
      <c r="L274" s="32" t="s">
        <v>779</v>
      </c>
      <c r="M274" s="22">
        <v>50</v>
      </c>
      <c r="N274" s="5" t="s">
        <v>780</v>
      </c>
      <c r="O274" s="5">
        <v>2013</v>
      </c>
      <c r="P274" s="20" t="s">
        <v>781</v>
      </c>
    </row>
    <row r="275" spans="1:16" ht="90" x14ac:dyDescent="0.2">
      <c r="A275" s="15">
        <v>29</v>
      </c>
      <c r="B275" s="16" t="s">
        <v>396</v>
      </c>
      <c r="C275" s="17">
        <v>10</v>
      </c>
      <c r="D275" s="48" t="s">
        <v>1032</v>
      </c>
      <c r="E275" s="17">
        <v>0.2</v>
      </c>
      <c r="F275" s="18" t="s">
        <v>397</v>
      </c>
      <c r="G275" s="19">
        <v>25</v>
      </c>
      <c r="H275" s="20" t="s">
        <v>391</v>
      </c>
      <c r="I275" s="5" t="s">
        <v>325</v>
      </c>
      <c r="J275" s="19" t="s">
        <v>326</v>
      </c>
      <c r="K275" s="19">
        <v>10</v>
      </c>
      <c r="L275" s="24">
        <v>1.4999999999999999E-2</v>
      </c>
      <c r="M275" s="25">
        <v>6</v>
      </c>
      <c r="N275" s="5" t="s">
        <v>388</v>
      </c>
      <c r="O275" s="5">
        <v>1973</v>
      </c>
      <c r="P275" s="20" t="s">
        <v>398</v>
      </c>
    </row>
    <row r="276" spans="1:16" x14ac:dyDescent="0.2">
      <c r="A276" s="15">
        <v>32</v>
      </c>
      <c r="B276" s="16" t="s">
        <v>402</v>
      </c>
      <c r="C276" s="17">
        <v>11.5</v>
      </c>
      <c r="D276" s="48" t="s">
        <v>970</v>
      </c>
      <c r="E276" s="17"/>
      <c r="F276" s="18">
        <v>1</v>
      </c>
      <c r="G276" s="19">
        <v>25</v>
      </c>
      <c r="H276" s="20" t="s">
        <v>401</v>
      </c>
      <c r="I276" s="5" t="s">
        <v>325</v>
      </c>
      <c r="J276" s="19" t="s">
        <v>326</v>
      </c>
      <c r="K276" s="19">
        <v>10</v>
      </c>
      <c r="L276" s="24">
        <v>1.4999999999999999E-2</v>
      </c>
      <c r="M276" s="25">
        <v>6</v>
      </c>
      <c r="N276" s="5" t="s">
        <v>388</v>
      </c>
      <c r="O276" s="5">
        <v>1973</v>
      </c>
      <c r="P276" s="20" t="s">
        <v>398</v>
      </c>
    </row>
    <row r="277" spans="1:16" x14ac:dyDescent="0.2">
      <c r="A277" s="15">
        <v>31</v>
      </c>
      <c r="B277" s="16" t="s">
        <v>400</v>
      </c>
      <c r="C277" s="17">
        <v>11.5</v>
      </c>
      <c r="D277" s="48" t="s">
        <v>970</v>
      </c>
      <c r="E277" s="17"/>
      <c r="F277" s="18">
        <v>1</v>
      </c>
      <c r="G277" s="19">
        <v>25</v>
      </c>
      <c r="H277" s="20" t="s">
        <v>401</v>
      </c>
      <c r="I277" s="5" t="s">
        <v>325</v>
      </c>
      <c r="J277" s="19" t="s">
        <v>326</v>
      </c>
      <c r="K277" s="19">
        <v>10</v>
      </c>
      <c r="L277" s="24">
        <v>1.4999999999999999E-2</v>
      </c>
      <c r="M277" s="25">
        <v>6</v>
      </c>
      <c r="N277" s="5" t="s">
        <v>388</v>
      </c>
      <c r="O277" s="5">
        <v>1973</v>
      </c>
      <c r="P277" s="20" t="s">
        <v>398</v>
      </c>
    </row>
    <row r="278" spans="1:16" ht="60" x14ac:dyDescent="0.2">
      <c r="A278" s="15">
        <v>42</v>
      </c>
      <c r="B278" s="16" t="s">
        <v>418</v>
      </c>
      <c r="C278" s="17">
        <v>43.2</v>
      </c>
      <c r="D278" s="48" t="s">
        <v>1031</v>
      </c>
      <c r="E278" s="17">
        <f>0.05*C278</f>
        <v>2.16</v>
      </c>
      <c r="F278" s="18">
        <v>3.77</v>
      </c>
      <c r="G278" s="19">
        <v>25</v>
      </c>
      <c r="H278" s="20" t="s">
        <v>391</v>
      </c>
      <c r="I278" s="5" t="s">
        <v>325</v>
      </c>
      <c r="J278" s="19" t="s">
        <v>326</v>
      </c>
      <c r="K278" s="19" t="s">
        <v>419</v>
      </c>
      <c r="L278" s="19" t="s">
        <v>420</v>
      </c>
      <c r="M278" s="22">
        <v>9</v>
      </c>
      <c r="N278" s="5" t="s">
        <v>388</v>
      </c>
      <c r="O278" s="5">
        <v>1977</v>
      </c>
      <c r="P278" s="20" t="s">
        <v>421</v>
      </c>
    </row>
    <row r="279" spans="1:16" ht="120" x14ac:dyDescent="0.2">
      <c r="A279" s="15">
        <v>115</v>
      </c>
      <c r="B279" s="16" t="s">
        <v>571</v>
      </c>
      <c r="C279" s="23">
        <v>1.7</v>
      </c>
      <c r="D279" s="46" t="s">
        <v>966</v>
      </c>
      <c r="E279" s="23">
        <v>0.6</v>
      </c>
      <c r="F279" s="18">
        <v>5.6</v>
      </c>
      <c r="G279" s="19">
        <v>21</v>
      </c>
      <c r="H279" s="20" t="s">
        <v>489</v>
      </c>
      <c r="I279" s="5" t="s">
        <v>514</v>
      </c>
      <c r="J279" s="19" t="s">
        <v>469</v>
      </c>
      <c r="K279" s="19" t="s">
        <v>572</v>
      </c>
      <c r="L279" s="19" t="s">
        <v>573</v>
      </c>
      <c r="M279" s="22">
        <v>28</v>
      </c>
      <c r="N279" s="5" t="s">
        <v>560</v>
      </c>
      <c r="O279" s="5">
        <v>2004</v>
      </c>
      <c r="P279" s="20" t="s">
        <v>561</v>
      </c>
    </row>
    <row r="280" spans="1:16" x14ac:dyDescent="0.2">
      <c r="A280" s="15">
        <v>3</v>
      </c>
      <c r="B280" s="16" t="s">
        <v>330</v>
      </c>
      <c r="C280" s="7">
        <f>AVERAGE(640,644,662)</f>
        <v>648.66666666666663</v>
      </c>
      <c r="D280" s="50" t="s">
        <v>970</v>
      </c>
      <c r="E280" s="7"/>
      <c r="F280" s="18">
        <v>13</v>
      </c>
      <c r="G280" s="19">
        <v>25</v>
      </c>
      <c r="H280" s="20" t="s">
        <v>324</v>
      </c>
      <c r="I280" s="5" t="s">
        <v>325</v>
      </c>
      <c r="J280" s="19" t="s">
        <v>326</v>
      </c>
      <c r="K280" s="19" t="s">
        <v>331</v>
      </c>
      <c r="L280" s="19" t="s">
        <v>332</v>
      </c>
      <c r="M280" s="22">
        <v>1</v>
      </c>
      <c r="N280" s="5" t="s">
        <v>327</v>
      </c>
      <c r="O280" s="5">
        <v>1965</v>
      </c>
      <c r="P280" s="20" t="s">
        <v>328</v>
      </c>
    </row>
    <row r="281" spans="1:16" x14ac:dyDescent="0.2">
      <c r="A281" s="15">
        <v>4</v>
      </c>
      <c r="B281" s="16" t="s">
        <v>333</v>
      </c>
      <c r="C281" s="7">
        <v>275</v>
      </c>
      <c r="D281" s="50" t="s">
        <v>970</v>
      </c>
      <c r="E281" s="7"/>
      <c r="F281" s="18">
        <v>13</v>
      </c>
      <c r="G281" s="19">
        <v>25</v>
      </c>
      <c r="H281" s="20" t="s">
        <v>324</v>
      </c>
      <c r="I281" s="5" t="s">
        <v>325</v>
      </c>
      <c r="J281" s="19" t="s">
        <v>326</v>
      </c>
      <c r="K281" s="19" t="s">
        <v>334</v>
      </c>
      <c r="L281" s="19" t="s">
        <v>335</v>
      </c>
      <c r="M281" s="22">
        <v>1</v>
      </c>
      <c r="N281" s="5" t="s">
        <v>327</v>
      </c>
      <c r="O281" s="5">
        <v>1965</v>
      </c>
      <c r="P281" s="20" t="s">
        <v>328</v>
      </c>
    </row>
    <row r="282" spans="1:16" x14ac:dyDescent="0.2">
      <c r="A282" s="15">
        <v>290</v>
      </c>
      <c r="B282" s="16" t="s">
        <v>861</v>
      </c>
      <c r="C282" s="24">
        <v>3.47E-3</v>
      </c>
      <c r="D282" s="47" t="s">
        <v>970</v>
      </c>
      <c r="E282" s="24"/>
      <c r="F282" s="18" t="s">
        <v>862</v>
      </c>
      <c r="G282" s="19">
        <v>25</v>
      </c>
      <c r="H282" s="20" t="s">
        <v>863</v>
      </c>
      <c r="I282" s="5" t="s">
        <v>548</v>
      </c>
      <c r="J282" s="19" t="s">
        <v>469</v>
      </c>
      <c r="K282" s="19" t="s">
        <v>864</v>
      </c>
      <c r="L282" s="19">
        <v>0.01</v>
      </c>
      <c r="M282" s="22">
        <v>70</v>
      </c>
      <c r="N282" s="5" t="s">
        <v>865</v>
      </c>
      <c r="O282" s="5">
        <v>2018</v>
      </c>
      <c r="P282" s="20" t="s">
        <v>866</v>
      </c>
    </row>
    <row r="283" spans="1:16" x14ac:dyDescent="0.2">
      <c r="A283" s="15">
        <v>183</v>
      </c>
      <c r="B283" s="16" t="s">
        <v>707</v>
      </c>
      <c r="C283" s="17">
        <v>28.52</v>
      </c>
      <c r="D283" s="48" t="s">
        <v>1016</v>
      </c>
      <c r="E283" s="17">
        <f>0.06/7.13*C283</f>
        <v>0.24</v>
      </c>
      <c r="F283" s="18">
        <v>7</v>
      </c>
      <c r="G283" s="19" t="s">
        <v>476</v>
      </c>
      <c r="H283" s="20" t="s">
        <v>432</v>
      </c>
      <c r="I283" s="5" t="s">
        <v>325</v>
      </c>
      <c r="J283" s="19" t="s">
        <v>326</v>
      </c>
      <c r="K283" s="19">
        <v>5</v>
      </c>
      <c r="L283" s="19">
        <v>2.5000000000000001E-4</v>
      </c>
      <c r="M283" s="22">
        <v>40</v>
      </c>
      <c r="N283" s="5" t="s">
        <v>696</v>
      </c>
      <c r="O283" s="5">
        <v>2010</v>
      </c>
      <c r="P283" s="20" t="s">
        <v>697</v>
      </c>
    </row>
    <row r="284" spans="1:16" x14ac:dyDescent="0.2">
      <c r="A284" s="15">
        <v>263</v>
      </c>
      <c r="B284" s="16" t="s">
        <v>820</v>
      </c>
      <c r="C284" s="7">
        <f>AVERAGE(308,268,273)</f>
        <v>283</v>
      </c>
      <c r="D284" s="50" t="s">
        <v>970</v>
      </c>
      <c r="E284" s="23"/>
      <c r="F284" s="18">
        <v>7</v>
      </c>
      <c r="G284" s="19">
        <v>20</v>
      </c>
      <c r="H284" s="20" t="s">
        <v>786</v>
      </c>
      <c r="I284" s="5" t="s">
        <v>683</v>
      </c>
      <c r="J284" s="19" t="s">
        <v>469</v>
      </c>
      <c r="K284" s="17">
        <f>L284/(0.0002/239.2)</f>
        <v>8.3719999999999981</v>
      </c>
      <c r="L284" s="19">
        <v>6.9999999999999999E-6</v>
      </c>
      <c r="M284" s="22">
        <v>59</v>
      </c>
      <c r="N284" s="5" t="s">
        <v>787</v>
      </c>
      <c r="O284" s="5">
        <v>2015</v>
      </c>
      <c r="P284" s="20" t="s">
        <v>821</v>
      </c>
    </row>
    <row r="285" spans="1:16" x14ac:dyDescent="0.2">
      <c r="A285" s="15">
        <v>208</v>
      </c>
      <c r="B285" s="16" t="s">
        <v>731</v>
      </c>
      <c r="C285" s="26">
        <v>0.03</v>
      </c>
      <c r="D285" s="49" t="s">
        <v>1016</v>
      </c>
      <c r="E285" s="26">
        <f>1.76/6.86*C285</f>
        <v>7.6967930029154513E-3</v>
      </c>
      <c r="F285" s="18">
        <v>7</v>
      </c>
      <c r="G285" s="19" t="s">
        <v>476</v>
      </c>
      <c r="H285" s="20" t="s">
        <v>432</v>
      </c>
      <c r="I285" s="5" t="s">
        <v>325</v>
      </c>
      <c r="J285" s="19" t="s">
        <v>326</v>
      </c>
      <c r="K285" s="19">
        <v>5</v>
      </c>
      <c r="L285" s="19">
        <v>2.5000000000000001E-4</v>
      </c>
      <c r="M285" s="22">
        <v>40</v>
      </c>
      <c r="N285" s="5" t="s">
        <v>696</v>
      </c>
      <c r="O285" s="5">
        <v>2010</v>
      </c>
      <c r="P285" s="20" t="s">
        <v>697</v>
      </c>
    </row>
    <row r="286" spans="1:16" ht="60" x14ac:dyDescent="0.2">
      <c r="A286" s="15">
        <v>156</v>
      </c>
      <c r="B286" s="16" t="s">
        <v>655</v>
      </c>
      <c r="C286" s="7">
        <v>455.8</v>
      </c>
      <c r="D286" s="50" t="s">
        <v>1020</v>
      </c>
      <c r="E286" s="7">
        <v>4.3</v>
      </c>
      <c r="F286" s="18">
        <v>7</v>
      </c>
      <c r="G286" s="19">
        <v>20</v>
      </c>
      <c r="H286" s="20" t="s">
        <v>547</v>
      </c>
      <c r="I286" s="5" t="s">
        <v>548</v>
      </c>
      <c r="J286" s="19" t="s">
        <v>469</v>
      </c>
      <c r="K286" s="19" t="s">
        <v>656</v>
      </c>
      <c r="L286" s="19" t="s">
        <v>657</v>
      </c>
      <c r="M286" s="22">
        <v>32</v>
      </c>
      <c r="N286" s="5" t="s">
        <v>651</v>
      </c>
      <c r="O286" s="5">
        <v>2007</v>
      </c>
      <c r="P286" s="20" t="s">
        <v>652</v>
      </c>
    </row>
    <row r="287" spans="1:16" x14ac:dyDescent="0.2">
      <c r="A287" s="15">
        <v>292</v>
      </c>
      <c r="B287" s="16" t="s">
        <v>870</v>
      </c>
      <c r="C287" s="23">
        <f>0.0268/60*1000</f>
        <v>0.44666666666666666</v>
      </c>
      <c r="D287" s="46" t="s">
        <v>970</v>
      </c>
      <c r="E287" s="23"/>
      <c r="F287" s="18">
        <v>5.76</v>
      </c>
      <c r="G287" s="19">
        <v>25</v>
      </c>
      <c r="H287" s="20" t="s">
        <v>789</v>
      </c>
      <c r="I287" s="5" t="s">
        <v>548</v>
      </c>
      <c r="J287" s="19" t="s">
        <v>469</v>
      </c>
      <c r="K287" s="19" t="s">
        <v>871</v>
      </c>
      <c r="L287" s="19" t="s">
        <v>872</v>
      </c>
      <c r="M287" s="22">
        <v>72</v>
      </c>
      <c r="N287" s="5" t="s">
        <v>790</v>
      </c>
      <c r="O287" s="5">
        <v>2018</v>
      </c>
      <c r="P287" s="20" t="s">
        <v>873</v>
      </c>
    </row>
    <row r="288" spans="1:16" x14ac:dyDescent="0.2">
      <c r="A288" s="15">
        <v>193</v>
      </c>
      <c r="B288" s="16" t="s">
        <v>716</v>
      </c>
      <c r="C288" s="23">
        <v>1.2</v>
      </c>
      <c r="D288" s="46" t="s">
        <v>1042</v>
      </c>
      <c r="E288" s="23">
        <f>0.05/0.3*C288</f>
        <v>0.2</v>
      </c>
      <c r="F288" s="18">
        <v>7</v>
      </c>
      <c r="G288" s="19" t="s">
        <v>476</v>
      </c>
      <c r="H288" s="20" t="s">
        <v>432</v>
      </c>
      <c r="I288" s="5" t="s">
        <v>325</v>
      </c>
      <c r="J288" s="19" t="s">
        <v>326</v>
      </c>
      <c r="K288" s="19">
        <v>5</v>
      </c>
      <c r="L288" s="19">
        <v>2.5000000000000001E-4</v>
      </c>
      <c r="M288" s="22">
        <v>40</v>
      </c>
      <c r="N288" s="5" t="s">
        <v>696</v>
      </c>
      <c r="O288" s="5">
        <v>2010</v>
      </c>
      <c r="P288" s="20" t="s">
        <v>697</v>
      </c>
    </row>
    <row r="289" spans="1:16" x14ac:dyDescent="0.2">
      <c r="A289" s="15">
        <v>203</v>
      </c>
      <c r="B289" s="16" t="s">
        <v>726</v>
      </c>
      <c r="C289" s="23">
        <v>0.48</v>
      </c>
      <c r="D289" s="46" t="s">
        <v>1016</v>
      </c>
      <c r="E289" s="23">
        <v>0</v>
      </c>
      <c r="F289" s="18">
        <v>7</v>
      </c>
      <c r="G289" s="19" t="s">
        <v>476</v>
      </c>
      <c r="H289" s="20" t="s">
        <v>432</v>
      </c>
      <c r="I289" s="5" t="s">
        <v>325</v>
      </c>
      <c r="J289" s="19" t="s">
        <v>326</v>
      </c>
      <c r="K289" s="19">
        <v>5</v>
      </c>
      <c r="L289" s="19">
        <v>2.5000000000000001E-4</v>
      </c>
      <c r="M289" s="22">
        <v>40</v>
      </c>
      <c r="N289" s="5" t="s">
        <v>696</v>
      </c>
      <c r="O289" s="5">
        <v>2010</v>
      </c>
      <c r="P289" s="20" t="s">
        <v>697</v>
      </c>
    </row>
    <row r="290" spans="1:16" ht="30" x14ac:dyDescent="0.2">
      <c r="A290" s="15">
        <v>137</v>
      </c>
      <c r="B290" s="16" t="s">
        <v>622</v>
      </c>
      <c r="C290" s="24">
        <f>AVERAGE(0.000388,0.000278)</f>
        <v>3.3299999999999996E-4</v>
      </c>
      <c r="D290" s="47" t="s">
        <v>987</v>
      </c>
      <c r="E290" s="24">
        <f>STDEV(0.000388,0.000278)</f>
        <v>7.7781745930520239E-5</v>
      </c>
      <c r="F290" s="30">
        <v>7</v>
      </c>
      <c r="G290" s="7">
        <v>25</v>
      </c>
      <c r="H290" s="31" t="s">
        <v>608</v>
      </c>
      <c r="I290" s="5" t="s">
        <v>325</v>
      </c>
      <c r="J290" s="19" t="s">
        <v>326</v>
      </c>
      <c r="K290" s="19" t="s">
        <v>623</v>
      </c>
      <c r="L290" s="19" t="s">
        <v>624</v>
      </c>
      <c r="M290" s="22">
        <v>31</v>
      </c>
      <c r="N290" s="5" t="s">
        <v>611</v>
      </c>
      <c r="O290" s="5">
        <v>2006</v>
      </c>
      <c r="P290" s="20" t="s">
        <v>612</v>
      </c>
    </row>
    <row r="291" spans="1:16" x14ac:dyDescent="0.2">
      <c r="A291" s="15">
        <v>125</v>
      </c>
      <c r="B291" s="16" t="s">
        <v>591</v>
      </c>
      <c r="C291" s="19" t="s">
        <v>589</v>
      </c>
      <c r="D291" s="51" t="s">
        <v>970</v>
      </c>
      <c r="E291" s="19"/>
      <c r="F291" s="18">
        <v>5.6</v>
      </c>
      <c r="G291" s="19">
        <v>21</v>
      </c>
      <c r="H291" s="20" t="s">
        <v>489</v>
      </c>
      <c r="I291" s="5" t="s">
        <v>514</v>
      </c>
      <c r="J291" s="19" t="s">
        <v>469</v>
      </c>
      <c r="K291" s="19" t="s">
        <v>592</v>
      </c>
      <c r="L291" s="19" t="s">
        <v>575</v>
      </c>
      <c r="M291" s="22">
        <v>28</v>
      </c>
      <c r="N291" s="5" t="s">
        <v>560</v>
      </c>
      <c r="O291" s="5">
        <v>2004</v>
      </c>
      <c r="P291" s="20" t="s">
        <v>561</v>
      </c>
    </row>
    <row r="292" spans="1:16" x14ac:dyDescent="0.2">
      <c r="A292" s="15">
        <v>260</v>
      </c>
      <c r="B292" s="16" t="s">
        <v>809</v>
      </c>
      <c r="C292" s="7">
        <v>460</v>
      </c>
      <c r="D292" s="51" t="s">
        <v>970</v>
      </c>
      <c r="E292" s="7"/>
      <c r="F292" s="18">
        <v>7</v>
      </c>
      <c r="G292" s="19">
        <v>25</v>
      </c>
      <c r="H292" s="20" t="s">
        <v>792</v>
      </c>
      <c r="I292" s="5" t="s">
        <v>548</v>
      </c>
      <c r="J292" s="19" t="s">
        <v>469</v>
      </c>
      <c r="K292" s="19" t="s">
        <v>476</v>
      </c>
      <c r="L292" s="19" t="s">
        <v>810</v>
      </c>
      <c r="M292" s="22">
        <v>56</v>
      </c>
      <c r="N292" s="5" t="s">
        <v>811</v>
      </c>
      <c r="O292" s="5">
        <v>2014</v>
      </c>
      <c r="P292" s="20" t="s">
        <v>812</v>
      </c>
    </row>
    <row r="293" spans="1:16" x14ac:dyDescent="0.2">
      <c r="A293" s="15">
        <v>73</v>
      </c>
      <c r="B293" s="16" t="s">
        <v>466</v>
      </c>
      <c r="C293" s="24">
        <v>8.3999999999999995E-3</v>
      </c>
      <c r="D293" s="51" t="s">
        <v>970</v>
      </c>
      <c r="E293" s="24"/>
      <c r="F293" s="18">
        <v>8</v>
      </c>
      <c r="G293" s="19">
        <v>22</v>
      </c>
      <c r="H293" s="20" t="s">
        <v>467</v>
      </c>
      <c r="I293" s="5" t="s">
        <v>468</v>
      </c>
      <c r="J293" s="19" t="s">
        <v>469</v>
      </c>
      <c r="K293" s="19" t="s">
        <v>470</v>
      </c>
      <c r="L293" s="19" t="s">
        <v>471</v>
      </c>
      <c r="M293" s="22">
        <v>15</v>
      </c>
      <c r="N293" s="5" t="s">
        <v>472</v>
      </c>
      <c r="O293" s="5">
        <v>1998</v>
      </c>
      <c r="P293" s="20" t="s">
        <v>473</v>
      </c>
    </row>
    <row r="294" spans="1:16" x14ac:dyDescent="0.2">
      <c r="A294" s="15">
        <v>79</v>
      </c>
      <c r="B294" s="16" t="s">
        <v>466</v>
      </c>
      <c r="C294" s="26">
        <f>0.000045/0.001</f>
        <v>4.5000000000000005E-2</v>
      </c>
      <c r="D294" s="49" t="s">
        <v>967</v>
      </c>
      <c r="E294" s="26">
        <f>0.03/0.45*C294</f>
        <v>3.0000000000000005E-3</v>
      </c>
      <c r="F294" s="18">
        <v>7.1</v>
      </c>
      <c r="G294" s="19">
        <v>21</v>
      </c>
      <c r="H294" s="20" t="s">
        <v>484</v>
      </c>
      <c r="I294" s="5" t="s">
        <v>478</v>
      </c>
      <c r="J294" s="19" t="s">
        <v>469</v>
      </c>
      <c r="K294" s="19" t="s">
        <v>485</v>
      </c>
      <c r="L294" s="19">
        <v>1E-3</v>
      </c>
      <c r="M294" s="22">
        <v>17</v>
      </c>
      <c r="N294" s="5" t="s">
        <v>481</v>
      </c>
      <c r="O294" s="5">
        <v>1999</v>
      </c>
      <c r="P294" s="20" t="s">
        <v>486</v>
      </c>
    </row>
    <row r="295" spans="1:16" ht="45" x14ac:dyDescent="0.2">
      <c r="A295" s="15">
        <v>81</v>
      </c>
      <c r="B295" s="16" t="s">
        <v>466</v>
      </c>
      <c r="C295" s="26">
        <f>2.45/60</f>
        <v>4.083333333333334E-2</v>
      </c>
      <c r="D295" s="49" t="s">
        <v>1047</v>
      </c>
      <c r="E295" s="26">
        <f>0.65/2.45*C295</f>
        <v>1.0833333333333335E-2</v>
      </c>
      <c r="F295" s="18">
        <v>5.6</v>
      </c>
      <c r="G295" s="19">
        <v>21</v>
      </c>
      <c r="H295" s="20" t="s">
        <v>489</v>
      </c>
      <c r="I295" s="5" t="s">
        <v>490</v>
      </c>
      <c r="J295" s="19" t="s">
        <v>469</v>
      </c>
      <c r="K295" s="19" t="s">
        <v>491</v>
      </c>
      <c r="L295" s="19" t="s">
        <v>492</v>
      </c>
      <c r="M295" s="22">
        <v>18</v>
      </c>
      <c r="N295" s="5" t="s">
        <v>493</v>
      </c>
      <c r="O295" s="5">
        <v>2000</v>
      </c>
      <c r="P295" s="20" t="s">
        <v>494</v>
      </c>
    </row>
    <row r="296" spans="1:16" x14ac:dyDescent="0.2">
      <c r="A296" s="15">
        <v>96</v>
      </c>
      <c r="B296" s="16" t="s">
        <v>466</v>
      </c>
      <c r="C296" s="26">
        <v>3.5000000000000003E-2</v>
      </c>
      <c r="D296" s="49" t="s">
        <v>968</v>
      </c>
      <c r="E296" s="26">
        <v>4.0000000000000001E-3</v>
      </c>
      <c r="F296" s="18">
        <v>7</v>
      </c>
      <c r="G296" s="19">
        <v>20</v>
      </c>
      <c r="H296" s="20" t="s">
        <v>432</v>
      </c>
      <c r="I296" s="5" t="s">
        <v>514</v>
      </c>
      <c r="J296" s="19" t="s">
        <v>469</v>
      </c>
      <c r="K296" s="19" t="s">
        <v>515</v>
      </c>
      <c r="L296" s="19" t="s">
        <v>516</v>
      </c>
      <c r="M296" s="22">
        <v>22</v>
      </c>
      <c r="N296" s="5" t="s">
        <v>517</v>
      </c>
      <c r="O296" s="5">
        <v>2001</v>
      </c>
      <c r="P296" s="20" t="s">
        <v>518</v>
      </c>
    </row>
    <row r="297" spans="1:16" x14ac:dyDescent="0.2">
      <c r="A297" s="15">
        <v>102</v>
      </c>
      <c r="B297" s="16" t="s">
        <v>466</v>
      </c>
      <c r="C297" s="26">
        <f>AVERAGE(0.00028/(1.46/158),0.00013/(0.45/158))</f>
        <v>3.7972907153729064E-2</v>
      </c>
      <c r="D297" s="49" t="s">
        <v>1048</v>
      </c>
      <c r="E297" s="26">
        <f>STDEV(0.00028/(1.46/158),0.00013/(0.45/158))</f>
        <v>1.0849192080780643E-2</v>
      </c>
      <c r="F297" s="18">
        <v>5.6</v>
      </c>
      <c r="G297" s="19">
        <v>23</v>
      </c>
      <c r="H297" s="20" t="s">
        <v>489</v>
      </c>
      <c r="I297" s="5" t="s">
        <v>530</v>
      </c>
      <c r="J297" s="19" t="s">
        <v>469</v>
      </c>
      <c r="K297" s="19" t="s">
        <v>531</v>
      </c>
      <c r="L297" s="19" t="s">
        <v>532</v>
      </c>
      <c r="M297" s="22">
        <v>24</v>
      </c>
      <c r="N297" s="5" t="s">
        <v>533</v>
      </c>
      <c r="O297" s="5">
        <v>2002</v>
      </c>
      <c r="P297" s="20" t="s">
        <v>534</v>
      </c>
    </row>
    <row r="298" spans="1:16" ht="60" x14ac:dyDescent="0.2">
      <c r="A298" s="15">
        <v>131</v>
      </c>
      <c r="B298" s="29" t="s">
        <v>466</v>
      </c>
      <c r="C298" s="26">
        <f>AVERAGE(0.0458,0.0411)</f>
        <v>4.3450000000000003E-2</v>
      </c>
      <c r="D298" s="49" t="s">
        <v>986</v>
      </c>
      <c r="E298" s="26">
        <f>STDEV(0.0458,0.0411)</f>
        <v>3.3234018715767753E-3</v>
      </c>
      <c r="F298" s="30">
        <v>7</v>
      </c>
      <c r="G298" s="7">
        <v>25</v>
      </c>
      <c r="H298" s="31" t="s">
        <v>432</v>
      </c>
      <c r="I298" s="5" t="s">
        <v>325</v>
      </c>
      <c r="J298" s="19" t="s">
        <v>326</v>
      </c>
      <c r="K298" s="19">
        <v>10</v>
      </c>
      <c r="L298" s="26">
        <v>1E-3</v>
      </c>
      <c r="M298" s="22">
        <v>31</v>
      </c>
      <c r="N298" s="5" t="s">
        <v>611</v>
      </c>
      <c r="O298" s="5">
        <v>2006</v>
      </c>
      <c r="P298" s="20" t="s">
        <v>612</v>
      </c>
    </row>
    <row r="299" spans="1:16" ht="30" x14ac:dyDescent="0.2">
      <c r="A299" s="15">
        <v>325</v>
      </c>
      <c r="B299" s="16" t="s">
        <v>466</v>
      </c>
      <c r="C299" s="24">
        <v>1.7000000000000001E-2</v>
      </c>
      <c r="D299" s="47" t="s">
        <v>1049</v>
      </c>
      <c r="E299" s="19">
        <v>2E-3</v>
      </c>
      <c r="F299" s="18">
        <v>10.6</v>
      </c>
      <c r="G299" s="19">
        <v>20</v>
      </c>
      <c r="H299" s="20" t="s">
        <v>947</v>
      </c>
      <c r="I299" s="34" t="s">
        <v>478</v>
      </c>
      <c r="J299" s="19" t="s">
        <v>469</v>
      </c>
      <c r="K299" s="19" t="s">
        <v>948</v>
      </c>
      <c r="L299" s="19" t="s">
        <v>949</v>
      </c>
      <c r="M299" s="22">
        <v>86</v>
      </c>
      <c r="N299" s="5" t="s">
        <v>950</v>
      </c>
      <c r="O299" s="5">
        <v>2002</v>
      </c>
      <c r="P299" s="20" t="s">
        <v>951</v>
      </c>
    </row>
    <row r="300" spans="1:16" x14ac:dyDescent="0.2">
      <c r="A300" s="15">
        <v>178</v>
      </c>
      <c r="B300" s="16" t="s">
        <v>702</v>
      </c>
      <c r="C300" s="17">
        <v>58</v>
      </c>
      <c r="D300" s="48" t="s">
        <v>1016</v>
      </c>
      <c r="E300" s="17">
        <f>0.77/14.5*C300</f>
        <v>3.08</v>
      </c>
      <c r="F300" s="18">
        <v>7</v>
      </c>
      <c r="G300" s="19" t="s">
        <v>476</v>
      </c>
      <c r="H300" s="20" t="s">
        <v>432</v>
      </c>
      <c r="I300" s="5" t="s">
        <v>325</v>
      </c>
      <c r="J300" s="19" t="s">
        <v>326</v>
      </c>
      <c r="K300" s="19">
        <v>5</v>
      </c>
      <c r="L300" s="19">
        <v>2.5000000000000001E-4</v>
      </c>
      <c r="M300" s="22">
        <v>40</v>
      </c>
      <c r="N300" s="5" t="s">
        <v>696</v>
      </c>
      <c r="O300" s="5">
        <v>2010</v>
      </c>
      <c r="P300" s="20" t="s">
        <v>697</v>
      </c>
    </row>
    <row r="301" spans="1:16" x14ac:dyDescent="0.2">
      <c r="A301" s="15">
        <v>66</v>
      </c>
      <c r="B301" s="16" t="s">
        <v>453</v>
      </c>
      <c r="C301" s="24">
        <f>0.0007</f>
        <v>6.9999999999999999E-4</v>
      </c>
      <c r="D301" s="47" t="s">
        <v>970</v>
      </c>
      <c r="E301" s="24"/>
      <c r="F301" s="28" t="s">
        <v>454</v>
      </c>
      <c r="G301" s="19">
        <v>20</v>
      </c>
      <c r="H301" s="20" t="s">
        <v>455</v>
      </c>
      <c r="I301" s="5" t="s">
        <v>325</v>
      </c>
      <c r="J301" s="19" t="s">
        <v>326</v>
      </c>
      <c r="K301" s="19">
        <v>18</v>
      </c>
      <c r="L301" s="19">
        <v>6.8999999999999999E-3</v>
      </c>
      <c r="M301" s="22">
        <v>13</v>
      </c>
      <c r="N301" s="5" t="s">
        <v>456</v>
      </c>
      <c r="O301" s="5">
        <v>1995</v>
      </c>
      <c r="P301" s="20" t="s">
        <v>457</v>
      </c>
    </row>
    <row r="302" spans="1:16" x14ac:dyDescent="0.2">
      <c r="A302" s="15">
        <v>67</v>
      </c>
      <c r="B302" s="16" t="s">
        <v>453</v>
      </c>
      <c r="C302" s="24">
        <v>1.7000000000000001E-4</v>
      </c>
      <c r="D302" s="47" t="s">
        <v>970</v>
      </c>
      <c r="E302" s="24"/>
      <c r="F302" s="18">
        <v>7</v>
      </c>
      <c r="G302" s="19">
        <v>25</v>
      </c>
      <c r="H302" s="20" t="s">
        <v>458</v>
      </c>
      <c r="I302" s="5" t="s">
        <v>325</v>
      </c>
      <c r="J302" s="19" t="s">
        <v>326</v>
      </c>
      <c r="K302" s="19">
        <v>10</v>
      </c>
      <c r="L302" s="19">
        <v>4.1099999999999999E-3</v>
      </c>
      <c r="M302" s="22">
        <v>14</v>
      </c>
      <c r="N302" s="5" t="s">
        <v>459</v>
      </c>
      <c r="O302" s="5">
        <v>1996</v>
      </c>
      <c r="P302" s="20" t="s">
        <v>460</v>
      </c>
    </row>
    <row r="303" spans="1:16" x14ac:dyDescent="0.2">
      <c r="A303" s="15">
        <v>87</v>
      </c>
      <c r="B303" s="16" t="s">
        <v>453</v>
      </c>
      <c r="C303" s="24">
        <f>0.00023</f>
        <v>2.3000000000000001E-4</v>
      </c>
      <c r="D303" s="47" t="s">
        <v>969</v>
      </c>
      <c r="E303" s="24">
        <v>1.0000000000000001E-5</v>
      </c>
      <c r="F303" s="18" t="s">
        <v>502</v>
      </c>
      <c r="G303" s="19">
        <v>20</v>
      </c>
      <c r="H303" s="20" t="s">
        <v>503</v>
      </c>
      <c r="I303" s="5" t="s">
        <v>468</v>
      </c>
      <c r="J303" s="19" t="s">
        <v>469</v>
      </c>
      <c r="K303" s="19" t="s">
        <v>476</v>
      </c>
      <c r="L303" s="19" t="s">
        <v>476</v>
      </c>
      <c r="M303" s="22">
        <v>90</v>
      </c>
      <c r="N303" s="5" t="s">
        <v>506</v>
      </c>
      <c r="O303" s="5">
        <v>1996</v>
      </c>
      <c r="P303" s="20" t="s">
        <v>507</v>
      </c>
    </row>
    <row r="304" spans="1:16" ht="120" x14ac:dyDescent="0.2">
      <c r="A304" s="15">
        <v>116</v>
      </c>
      <c r="B304" s="16" t="s">
        <v>453</v>
      </c>
      <c r="C304" s="24">
        <v>5.2999999999999998E-4</v>
      </c>
      <c r="D304" s="47" t="s">
        <v>966</v>
      </c>
      <c r="E304" s="24">
        <v>5.0000000000000001E-4</v>
      </c>
      <c r="F304" s="18">
        <v>5.6</v>
      </c>
      <c r="G304" s="19">
        <v>21</v>
      </c>
      <c r="H304" s="20" t="s">
        <v>489</v>
      </c>
      <c r="I304" s="5" t="s">
        <v>514</v>
      </c>
      <c r="J304" s="19" t="s">
        <v>469</v>
      </c>
      <c r="K304" s="19" t="s">
        <v>574</v>
      </c>
      <c r="L304" s="19" t="s">
        <v>575</v>
      </c>
      <c r="M304" s="22">
        <v>28</v>
      </c>
      <c r="N304" s="5" t="s">
        <v>560</v>
      </c>
      <c r="O304" s="5">
        <v>2004</v>
      </c>
      <c r="P304" s="20" t="s">
        <v>561</v>
      </c>
    </row>
    <row r="305" spans="1:16" x14ac:dyDescent="0.2">
      <c r="A305" s="15">
        <v>138</v>
      </c>
      <c r="B305" s="16" t="s">
        <v>453</v>
      </c>
      <c r="C305" s="24">
        <v>8.3199999999999995E-4</v>
      </c>
      <c r="D305" s="47" t="s">
        <v>970</v>
      </c>
      <c r="E305" s="24"/>
      <c r="F305" s="30">
        <v>7</v>
      </c>
      <c r="G305" s="7">
        <v>25</v>
      </c>
      <c r="H305" s="31" t="s">
        <v>432</v>
      </c>
      <c r="I305" s="5" t="s">
        <v>325</v>
      </c>
      <c r="J305" s="19" t="s">
        <v>326</v>
      </c>
      <c r="K305" s="19">
        <v>40</v>
      </c>
      <c r="L305" s="19">
        <v>4.0000000000000001E-3</v>
      </c>
      <c r="M305" s="22">
        <v>31</v>
      </c>
      <c r="N305" s="5" t="s">
        <v>611</v>
      </c>
      <c r="O305" s="5">
        <v>2006</v>
      </c>
      <c r="P305" s="20" t="s">
        <v>612</v>
      </c>
    </row>
    <row r="306" spans="1:16" x14ac:dyDescent="0.2">
      <c r="A306" s="15">
        <v>258</v>
      </c>
      <c r="B306" s="16" t="s">
        <v>453</v>
      </c>
      <c r="C306" s="24">
        <v>2.5000000000000001E-4</v>
      </c>
      <c r="D306" s="47" t="s">
        <v>970</v>
      </c>
      <c r="E306" s="24"/>
      <c r="F306" s="18" t="s">
        <v>807</v>
      </c>
      <c r="G306" s="19">
        <v>21</v>
      </c>
      <c r="H306" s="20" t="s">
        <v>476</v>
      </c>
      <c r="I306" s="5" t="s">
        <v>803</v>
      </c>
      <c r="J306" s="19" t="s">
        <v>804</v>
      </c>
      <c r="K306" s="19" t="s">
        <v>393</v>
      </c>
      <c r="L306" s="19" t="s">
        <v>393</v>
      </c>
      <c r="M306" s="22">
        <v>55</v>
      </c>
      <c r="N306" s="5" t="s">
        <v>805</v>
      </c>
      <c r="O306" s="5">
        <v>2014</v>
      </c>
      <c r="P306" s="20" t="s">
        <v>806</v>
      </c>
    </row>
    <row r="307" spans="1:16" x14ac:dyDescent="0.2">
      <c r="A307" s="15">
        <v>76</v>
      </c>
      <c r="B307" s="16" t="s">
        <v>483</v>
      </c>
      <c r="C307" s="17">
        <f>0.03/0.001</f>
        <v>30</v>
      </c>
      <c r="D307" s="48" t="s">
        <v>967</v>
      </c>
      <c r="E307" s="17">
        <f>20/300*C307</f>
        <v>2</v>
      </c>
      <c r="F307" s="18">
        <v>7.1</v>
      </c>
      <c r="G307" s="19">
        <v>21</v>
      </c>
      <c r="H307" s="20" t="s">
        <v>484</v>
      </c>
      <c r="I307" s="5" t="s">
        <v>478</v>
      </c>
      <c r="J307" s="19" t="s">
        <v>469</v>
      </c>
      <c r="K307" s="19" t="s">
        <v>485</v>
      </c>
      <c r="L307" s="19">
        <v>1E-3</v>
      </c>
      <c r="M307" s="22">
        <v>17</v>
      </c>
      <c r="N307" s="5" t="s">
        <v>481</v>
      </c>
      <c r="O307" s="5">
        <v>1999</v>
      </c>
      <c r="P307" s="20" t="s">
        <v>486</v>
      </c>
    </row>
    <row r="308" spans="1:16" x14ac:dyDescent="0.2">
      <c r="A308" s="15">
        <v>100</v>
      </c>
      <c r="B308" s="16" t="s">
        <v>483</v>
      </c>
      <c r="C308" s="17">
        <v>48.6</v>
      </c>
      <c r="D308" s="48" t="s">
        <v>968</v>
      </c>
      <c r="E308" s="17">
        <v>0.9</v>
      </c>
      <c r="F308" s="18">
        <v>7</v>
      </c>
      <c r="G308" s="19">
        <v>20</v>
      </c>
      <c r="H308" s="20" t="s">
        <v>432</v>
      </c>
      <c r="I308" s="5" t="s">
        <v>514</v>
      </c>
      <c r="J308" s="19" t="s">
        <v>469</v>
      </c>
      <c r="K308" s="19" t="s">
        <v>523</v>
      </c>
      <c r="L308" s="19" t="s">
        <v>521</v>
      </c>
      <c r="M308" s="22">
        <v>22</v>
      </c>
      <c r="N308" s="5" t="s">
        <v>517</v>
      </c>
      <c r="O308" s="5">
        <v>2001</v>
      </c>
      <c r="P308" s="20" t="s">
        <v>518</v>
      </c>
    </row>
    <row r="309" spans="1:16" ht="30" x14ac:dyDescent="0.2">
      <c r="A309" s="15">
        <v>143</v>
      </c>
      <c r="B309" s="16" t="s">
        <v>483</v>
      </c>
      <c r="C309" s="17">
        <v>39</v>
      </c>
      <c r="D309" s="48" t="s">
        <v>985</v>
      </c>
      <c r="E309" s="17">
        <v>3</v>
      </c>
      <c r="F309" s="30">
        <v>7</v>
      </c>
      <c r="G309" s="7">
        <v>25</v>
      </c>
      <c r="H309" s="31" t="s">
        <v>432</v>
      </c>
      <c r="I309" s="5" t="s">
        <v>325</v>
      </c>
      <c r="J309" s="19" t="s">
        <v>326</v>
      </c>
      <c r="K309" s="19" t="s">
        <v>632</v>
      </c>
      <c r="L309" s="19" t="s">
        <v>633</v>
      </c>
      <c r="M309" s="22">
        <v>31</v>
      </c>
      <c r="N309" s="5" t="s">
        <v>611</v>
      </c>
      <c r="O309" s="5">
        <v>2006</v>
      </c>
      <c r="P309" s="20" t="s">
        <v>612</v>
      </c>
    </row>
    <row r="310" spans="1:16" x14ac:dyDescent="0.2">
      <c r="A310" s="15">
        <v>74</v>
      </c>
      <c r="B310" s="16" t="s">
        <v>474</v>
      </c>
      <c r="C310" s="23">
        <f>0.54/60/60/0.0007</f>
        <v>0.2142857142857143</v>
      </c>
      <c r="D310" s="46" t="s">
        <v>970</v>
      </c>
      <c r="E310" s="23"/>
      <c r="F310" s="18">
        <v>8</v>
      </c>
      <c r="G310" s="19">
        <v>22</v>
      </c>
      <c r="H310" s="20" t="s">
        <v>467</v>
      </c>
      <c r="I310" s="5" t="s">
        <v>468</v>
      </c>
      <c r="J310" s="19" t="s">
        <v>469</v>
      </c>
      <c r="K310" s="19">
        <f>L310/(0.001/131.4)</f>
        <v>91.98</v>
      </c>
      <c r="L310" s="19">
        <v>6.9999999999999999E-4</v>
      </c>
      <c r="M310" s="22">
        <v>15</v>
      </c>
      <c r="N310" s="5" t="s">
        <v>472</v>
      </c>
      <c r="O310" s="5">
        <v>1998</v>
      </c>
      <c r="P310" s="20" t="s">
        <v>473</v>
      </c>
    </row>
    <row r="311" spans="1:16" ht="60" x14ac:dyDescent="0.2">
      <c r="A311" s="15">
        <v>75</v>
      </c>
      <c r="B311" s="16" t="s">
        <v>474</v>
      </c>
      <c r="C311" s="23">
        <v>0.66</v>
      </c>
      <c r="D311" s="46" t="s">
        <v>1050</v>
      </c>
      <c r="E311" s="23">
        <v>0.02</v>
      </c>
      <c r="F311" s="18" t="s">
        <v>475</v>
      </c>
      <c r="G311" s="19" t="s">
        <v>476</v>
      </c>
      <c r="H311" s="20" t="s">
        <v>477</v>
      </c>
      <c r="I311" s="5" t="s">
        <v>478</v>
      </c>
      <c r="J311" s="19" t="s">
        <v>469</v>
      </c>
      <c r="K311" s="19" t="s">
        <v>479</v>
      </c>
      <c r="L311" s="19" t="s">
        <v>480</v>
      </c>
      <c r="M311" s="22">
        <v>16</v>
      </c>
      <c r="N311" s="5" t="s">
        <v>481</v>
      </c>
      <c r="O311" s="5">
        <v>1998</v>
      </c>
      <c r="P311" s="20" t="s">
        <v>482</v>
      </c>
    </row>
    <row r="312" spans="1:16" x14ac:dyDescent="0.2">
      <c r="A312" s="15">
        <v>78</v>
      </c>
      <c r="B312" s="16" t="s">
        <v>474</v>
      </c>
      <c r="C312" s="23">
        <v>0.67</v>
      </c>
      <c r="D312" s="46" t="s">
        <v>967</v>
      </c>
      <c r="E312" s="23">
        <v>0.03</v>
      </c>
      <c r="F312" s="28" t="s">
        <v>475</v>
      </c>
      <c r="G312" s="19">
        <v>21</v>
      </c>
      <c r="H312" s="20" t="s">
        <v>484</v>
      </c>
      <c r="I312" s="5" t="s">
        <v>478</v>
      </c>
      <c r="J312" s="19" t="s">
        <v>469</v>
      </c>
      <c r="K312" s="19" t="s">
        <v>356</v>
      </c>
      <c r="L312" s="19" t="s">
        <v>480</v>
      </c>
      <c r="M312" s="22">
        <v>17</v>
      </c>
      <c r="N312" s="5" t="s">
        <v>481</v>
      </c>
      <c r="O312" s="5">
        <v>1999</v>
      </c>
      <c r="P312" s="20" t="s">
        <v>486</v>
      </c>
    </row>
    <row r="313" spans="1:16" ht="60" x14ac:dyDescent="0.2">
      <c r="A313" s="15">
        <v>95</v>
      </c>
      <c r="B313" s="16" t="s">
        <v>474</v>
      </c>
      <c r="C313" s="23">
        <v>0.67</v>
      </c>
      <c r="D313" s="46" t="s">
        <v>1050</v>
      </c>
      <c r="E313" s="23">
        <v>0.03</v>
      </c>
      <c r="F313" s="18" t="s">
        <v>475</v>
      </c>
      <c r="G313" s="19">
        <v>21</v>
      </c>
      <c r="H313" s="20" t="s">
        <v>432</v>
      </c>
      <c r="I313" s="5" t="s">
        <v>476</v>
      </c>
      <c r="J313" s="19" t="s">
        <v>469</v>
      </c>
      <c r="K313" s="19">
        <f>0.63/0.09</f>
        <v>7</v>
      </c>
      <c r="L313" s="19">
        <v>6.3000000000000003E-4</v>
      </c>
      <c r="M313" s="22">
        <v>21</v>
      </c>
      <c r="N313" s="5" t="s">
        <v>481</v>
      </c>
      <c r="O313" s="5">
        <v>2000</v>
      </c>
      <c r="P313" s="20" t="s">
        <v>513</v>
      </c>
    </row>
    <row r="314" spans="1:16" x14ac:dyDescent="0.2">
      <c r="A314" s="15">
        <v>97</v>
      </c>
      <c r="B314" s="16" t="s">
        <v>474</v>
      </c>
      <c r="C314" s="23">
        <v>0.8</v>
      </c>
      <c r="D314" s="46" t="s">
        <v>968</v>
      </c>
      <c r="E314" s="23">
        <v>0.12</v>
      </c>
      <c r="F314" s="18">
        <v>7</v>
      </c>
      <c r="G314" s="19">
        <v>20</v>
      </c>
      <c r="H314" s="20" t="s">
        <v>432</v>
      </c>
      <c r="I314" s="5" t="s">
        <v>514</v>
      </c>
      <c r="J314" s="19" t="s">
        <v>469</v>
      </c>
      <c r="K314" s="19" t="s">
        <v>519</v>
      </c>
      <c r="L314" s="19" t="s">
        <v>516</v>
      </c>
      <c r="M314" s="22">
        <v>22</v>
      </c>
      <c r="N314" s="5" t="s">
        <v>517</v>
      </c>
      <c r="O314" s="5">
        <v>2001</v>
      </c>
      <c r="P314" s="20" t="s">
        <v>518</v>
      </c>
    </row>
    <row r="315" spans="1:16" x14ac:dyDescent="0.2">
      <c r="A315" s="15">
        <v>103</v>
      </c>
      <c r="B315" s="16" t="s">
        <v>474</v>
      </c>
      <c r="C315" s="23">
        <f>AVERAGE(0.00102/(0.25/158),0.00065/(0.155/158))</f>
        <v>0.65361032258064511</v>
      </c>
      <c r="D315" s="46" t="s">
        <v>1048</v>
      </c>
      <c r="E315" s="23">
        <f>STDEV(0.00102/(0.25/158),0.00065/(0.155/158))</f>
        <v>1.2685951852409869E-2</v>
      </c>
      <c r="F315" s="18">
        <v>5.6</v>
      </c>
      <c r="G315" s="19">
        <v>23</v>
      </c>
      <c r="H315" s="20" t="s">
        <v>489</v>
      </c>
      <c r="I315" s="5" t="s">
        <v>530</v>
      </c>
      <c r="J315" s="19" t="s">
        <v>469</v>
      </c>
      <c r="K315" s="19" t="s">
        <v>535</v>
      </c>
      <c r="L315" s="19" t="s">
        <v>536</v>
      </c>
      <c r="M315" s="22">
        <v>24</v>
      </c>
      <c r="N315" s="5" t="s">
        <v>533</v>
      </c>
      <c r="O315" s="5">
        <v>2002</v>
      </c>
      <c r="P315" s="20" t="s">
        <v>534</v>
      </c>
    </row>
    <row r="316" spans="1:16" ht="30" x14ac:dyDescent="0.2">
      <c r="A316" s="15">
        <v>132</v>
      </c>
      <c r="B316" s="16" t="s">
        <v>474</v>
      </c>
      <c r="C316" s="23">
        <v>0.76</v>
      </c>
      <c r="D316" s="46" t="s">
        <v>984</v>
      </c>
      <c r="E316" s="23">
        <v>0.03</v>
      </c>
      <c r="F316" s="30">
        <v>7</v>
      </c>
      <c r="G316" s="7">
        <v>25</v>
      </c>
      <c r="H316" s="31" t="s">
        <v>432</v>
      </c>
      <c r="I316" s="5" t="s">
        <v>325</v>
      </c>
      <c r="J316" s="19" t="s">
        <v>326</v>
      </c>
      <c r="K316" s="19" t="s">
        <v>613</v>
      </c>
      <c r="L316" s="19" t="s">
        <v>369</v>
      </c>
      <c r="M316" s="22">
        <v>31</v>
      </c>
      <c r="N316" s="5" t="s">
        <v>611</v>
      </c>
      <c r="O316" s="5">
        <v>2006</v>
      </c>
      <c r="P316" s="20" t="s">
        <v>612</v>
      </c>
    </row>
    <row r="317" spans="1:16" x14ac:dyDescent="0.2">
      <c r="A317" s="15">
        <v>257</v>
      </c>
      <c r="B317" s="16" t="s">
        <v>474</v>
      </c>
      <c r="C317" s="23">
        <v>0.8</v>
      </c>
      <c r="D317" s="46" t="s">
        <v>970</v>
      </c>
      <c r="E317" s="23"/>
      <c r="F317" s="18" t="s">
        <v>802</v>
      </c>
      <c r="G317" s="19">
        <v>21</v>
      </c>
      <c r="H317" s="20" t="s">
        <v>476</v>
      </c>
      <c r="I317" s="5" t="s">
        <v>803</v>
      </c>
      <c r="J317" s="19" t="s">
        <v>804</v>
      </c>
      <c r="K317" s="19" t="s">
        <v>393</v>
      </c>
      <c r="L317" s="19" t="s">
        <v>393</v>
      </c>
      <c r="M317" s="22">
        <v>55</v>
      </c>
      <c r="N317" s="5" t="s">
        <v>805</v>
      </c>
      <c r="O317" s="5">
        <v>2014</v>
      </c>
      <c r="P317" s="20" t="s">
        <v>806</v>
      </c>
    </row>
    <row r="318" spans="1:16" x14ac:dyDescent="0.2">
      <c r="A318" s="15">
        <v>262</v>
      </c>
      <c r="B318" s="16" t="s">
        <v>474</v>
      </c>
      <c r="C318" s="23">
        <f>AVERAGE(0.61,0.96,1.21)</f>
        <v>0.92666666666666664</v>
      </c>
      <c r="D318" s="46" t="s">
        <v>970</v>
      </c>
      <c r="E318" s="23"/>
      <c r="F318" s="18">
        <v>5.6</v>
      </c>
      <c r="G318" s="19" t="s">
        <v>476</v>
      </c>
      <c r="H318" s="20" t="s">
        <v>489</v>
      </c>
      <c r="I318" s="5" t="s">
        <v>478</v>
      </c>
      <c r="J318" s="19" t="s">
        <v>469</v>
      </c>
      <c r="K318" s="19" t="s">
        <v>644</v>
      </c>
      <c r="L318" s="19" t="s">
        <v>817</v>
      </c>
      <c r="M318" s="22">
        <v>58</v>
      </c>
      <c r="N318" s="5" t="s">
        <v>818</v>
      </c>
      <c r="O318" s="5">
        <v>2015</v>
      </c>
      <c r="P318" s="20" t="s">
        <v>819</v>
      </c>
    </row>
    <row r="319" spans="1:16" x14ac:dyDescent="0.2">
      <c r="A319" s="15">
        <v>314</v>
      </c>
      <c r="B319" s="16" t="s">
        <v>474</v>
      </c>
      <c r="C319" s="23">
        <v>0.76</v>
      </c>
      <c r="D319" s="46" t="s">
        <v>1051</v>
      </c>
      <c r="E319" s="23">
        <v>0.06</v>
      </c>
      <c r="F319" s="18">
        <v>6.25</v>
      </c>
      <c r="G319" s="19" t="s">
        <v>476</v>
      </c>
      <c r="H319" s="20" t="s">
        <v>914</v>
      </c>
      <c r="I319" s="34" t="s">
        <v>478</v>
      </c>
      <c r="J319" s="19" t="s">
        <v>469</v>
      </c>
      <c r="K319" s="19" t="s">
        <v>915</v>
      </c>
      <c r="L319" s="19" t="s">
        <v>916</v>
      </c>
      <c r="M319" s="22">
        <v>80</v>
      </c>
      <c r="N319" s="5" t="s">
        <v>917</v>
      </c>
      <c r="O319" s="5">
        <v>1993</v>
      </c>
      <c r="P319" s="20" t="s">
        <v>918</v>
      </c>
    </row>
    <row r="320" spans="1:16" x14ac:dyDescent="0.2">
      <c r="A320" s="15">
        <v>315</v>
      </c>
      <c r="B320" s="16" t="s">
        <v>474</v>
      </c>
      <c r="C320" s="23">
        <v>0.8</v>
      </c>
      <c r="D320" s="46" t="s">
        <v>970</v>
      </c>
      <c r="E320" s="23"/>
      <c r="F320" s="18">
        <v>6.3</v>
      </c>
      <c r="G320" s="19">
        <v>25</v>
      </c>
      <c r="H320" s="20" t="s">
        <v>489</v>
      </c>
      <c r="I320" s="34" t="s">
        <v>478</v>
      </c>
      <c r="J320" s="19" t="s">
        <v>469</v>
      </c>
      <c r="K320" s="19" t="s">
        <v>553</v>
      </c>
      <c r="L320" s="19" t="s">
        <v>919</v>
      </c>
      <c r="M320" s="22">
        <v>81</v>
      </c>
      <c r="N320" s="5" t="s">
        <v>920</v>
      </c>
      <c r="O320" s="5">
        <v>2008</v>
      </c>
      <c r="P320" s="20" t="s">
        <v>921</v>
      </c>
    </row>
    <row r="321" spans="1:16" ht="30" x14ac:dyDescent="0.2">
      <c r="A321" s="15">
        <v>316</v>
      </c>
      <c r="B321" s="16" t="s">
        <v>474</v>
      </c>
      <c r="C321" s="23">
        <v>0.92</v>
      </c>
      <c r="D321" s="46" t="s">
        <v>1052</v>
      </c>
      <c r="E321" s="23">
        <v>7.0000000000000007E-2</v>
      </c>
      <c r="F321" s="18">
        <v>6.9</v>
      </c>
      <c r="G321" s="19">
        <v>20</v>
      </c>
      <c r="H321" s="20" t="s">
        <v>608</v>
      </c>
      <c r="I321" s="34" t="s">
        <v>478</v>
      </c>
      <c r="J321" s="19" t="s">
        <v>469</v>
      </c>
      <c r="K321" s="19" t="s">
        <v>922</v>
      </c>
      <c r="L321" s="19" t="s">
        <v>923</v>
      </c>
      <c r="M321" s="22">
        <v>82</v>
      </c>
      <c r="N321" s="5" t="s">
        <v>924</v>
      </c>
      <c r="O321" s="5">
        <v>2008</v>
      </c>
      <c r="P321" s="20" t="s">
        <v>925</v>
      </c>
    </row>
    <row r="322" spans="1:16" x14ac:dyDescent="0.2">
      <c r="A322" s="15">
        <v>323</v>
      </c>
      <c r="B322" s="16" t="s">
        <v>474</v>
      </c>
      <c r="C322" s="19">
        <v>0.89</v>
      </c>
      <c r="D322" s="51" t="s">
        <v>1035</v>
      </c>
      <c r="E322" s="19">
        <v>0.03</v>
      </c>
      <c r="F322" s="18">
        <v>7</v>
      </c>
      <c r="G322" s="19">
        <v>20</v>
      </c>
      <c r="H322" s="20" t="s">
        <v>432</v>
      </c>
      <c r="I322" s="34" t="s">
        <v>514</v>
      </c>
      <c r="J322" s="19" t="s">
        <v>469</v>
      </c>
      <c r="K322" s="19" t="s">
        <v>943</v>
      </c>
      <c r="L322" s="19" t="s">
        <v>516</v>
      </c>
      <c r="M322" s="22">
        <v>84</v>
      </c>
      <c r="N322" s="5" t="s">
        <v>517</v>
      </c>
      <c r="O322" s="5">
        <v>1999</v>
      </c>
      <c r="P322" s="20" t="s">
        <v>944</v>
      </c>
    </row>
    <row r="323" spans="1:16" x14ac:dyDescent="0.2">
      <c r="A323" s="15">
        <v>324</v>
      </c>
      <c r="B323" s="16" t="s">
        <v>474</v>
      </c>
      <c r="C323" s="23">
        <f>46/60</f>
        <v>0.76666666666666672</v>
      </c>
      <c r="D323" s="46" t="s">
        <v>970</v>
      </c>
      <c r="E323" s="19"/>
      <c r="F323" s="18">
        <v>5.3</v>
      </c>
      <c r="G323" s="19" t="s">
        <v>476</v>
      </c>
      <c r="H323" s="20" t="s">
        <v>489</v>
      </c>
      <c r="I323" s="34" t="s">
        <v>478</v>
      </c>
      <c r="J323" s="19" t="s">
        <v>469</v>
      </c>
      <c r="K323" s="19">
        <v>15</v>
      </c>
      <c r="L323" s="19">
        <v>7.9000000000000008E-3</v>
      </c>
      <c r="M323" s="22">
        <v>85</v>
      </c>
      <c r="N323" s="5" t="s">
        <v>945</v>
      </c>
      <c r="O323" s="5">
        <v>2003</v>
      </c>
      <c r="P323" s="20" t="s">
        <v>946</v>
      </c>
    </row>
    <row r="324" spans="1:16" ht="30" x14ac:dyDescent="0.2">
      <c r="A324" s="15">
        <v>161</v>
      </c>
      <c r="B324" s="16" t="s">
        <v>674</v>
      </c>
      <c r="C324" s="7">
        <v>129</v>
      </c>
      <c r="D324" s="50" t="s">
        <v>993</v>
      </c>
      <c r="E324" s="7">
        <f>0.05*C324</f>
        <v>6.45</v>
      </c>
      <c r="F324" s="18">
        <v>7</v>
      </c>
      <c r="G324" s="19">
        <v>23</v>
      </c>
      <c r="H324" s="20" t="s">
        <v>675</v>
      </c>
      <c r="I324" s="5" t="s">
        <v>548</v>
      </c>
      <c r="J324" s="19" t="s">
        <v>469</v>
      </c>
      <c r="K324" s="19" t="s">
        <v>676</v>
      </c>
      <c r="L324" s="19" t="s">
        <v>677</v>
      </c>
      <c r="M324" s="22">
        <v>37</v>
      </c>
      <c r="N324" s="6" t="s">
        <v>678</v>
      </c>
      <c r="O324" s="5">
        <v>2009</v>
      </c>
      <c r="P324" s="20" t="s">
        <v>679</v>
      </c>
    </row>
    <row r="325" spans="1:16" x14ac:dyDescent="0.2">
      <c r="A325" s="15">
        <v>173</v>
      </c>
      <c r="B325" s="16" t="s">
        <v>674</v>
      </c>
      <c r="C325" s="7">
        <v>317.48</v>
      </c>
      <c r="D325" s="50" t="s">
        <v>1016</v>
      </c>
      <c r="E325" s="7">
        <f>6.38/79.37*C325</f>
        <v>25.52</v>
      </c>
      <c r="F325" s="18">
        <v>7</v>
      </c>
      <c r="G325" s="19" t="s">
        <v>476</v>
      </c>
      <c r="H325" s="20" t="s">
        <v>432</v>
      </c>
      <c r="I325" s="5" t="s">
        <v>325</v>
      </c>
      <c r="J325" s="19" t="s">
        <v>326</v>
      </c>
      <c r="K325" s="19">
        <v>5</v>
      </c>
      <c r="L325" s="19">
        <v>2.5000000000000001E-4</v>
      </c>
      <c r="M325" s="22">
        <v>40</v>
      </c>
      <c r="N325" s="5" t="s">
        <v>696</v>
      </c>
      <c r="O325" s="5">
        <v>2010</v>
      </c>
      <c r="P325" s="20" t="s">
        <v>697</v>
      </c>
    </row>
    <row r="326" spans="1:16" x14ac:dyDescent="0.2">
      <c r="A326" s="15">
        <v>264</v>
      </c>
      <c r="B326" s="16" t="s">
        <v>674</v>
      </c>
      <c r="C326" s="7">
        <f>-LN(1/100)/120/((0.02/289.5)*2.5)</f>
        <v>222.19946147392537</v>
      </c>
      <c r="D326" s="50" t="s">
        <v>1053</v>
      </c>
      <c r="E326" s="21">
        <f>0.02/289.5*2.5</f>
        <v>1.7271157167530226E-4</v>
      </c>
      <c r="F326" s="18">
        <v>8</v>
      </c>
      <c r="G326" s="19">
        <v>25</v>
      </c>
      <c r="H326" s="20" t="s">
        <v>476</v>
      </c>
      <c r="I326" s="5" t="s">
        <v>548</v>
      </c>
      <c r="J326" s="19" t="s">
        <v>469</v>
      </c>
      <c r="K326" s="19">
        <v>2.5</v>
      </c>
      <c r="L326" s="19">
        <v>1.7000000000000001E-4</v>
      </c>
      <c r="M326" s="22">
        <v>60</v>
      </c>
      <c r="N326" s="5" t="s">
        <v>602</v>
      </c>
      <c r="O326" s="5">
        <v>2016</v>
      </c>
      <c r="P326" s="20" t="s">
        <v>822</v>
      </c>
    </row>
    <row r="327" spans="1:16" ht="240" x14ac:dyDescent="0.2">
      <c r="A327" s="15">
        <v>285</v>
      </c>
      <c r="B327" s="16" t="s">
        <v>674</v>
      </c>
      <c r="C327" s="7">
        <v>110.4</v>
      </c>
      <c r="D327" s="50" t="s">
        <v>1003</v>
      </c>
      <c r="E327" s="7">
        <v>3</v>
      </c>
      <c r="F327" s="18">
        <v>7</v>
      </c>
      <c r="G327" s="19">
        <v>25</v>
      </c>
      <c r="H327" s="20" t="s">
        <v>848</v>
      </c>
      <c r="I327" s="5" t="s">
        <v>548</v>
      </c>
      <c r="J327" s="19" t="s">
        <v>469</v>
      </c>
      <c r="K327" s="19" t="s">
        <v>852</v>
      </c>
      <c r="L327" s="19" t="s">
        <v>849</v>
      </c>
      <c r="M327" s="22">
        <v>67</v>
      </c>
      <c r="N327" s="5" t="s">
        <v>850</v>
      </c>
      <c r="O327" s="5">
        <v>2018</v>
      </c>
      <c r="P327" s="20" t="s">
        <v>851</v>
      </c>
    </row>
    <row r="328" spans="1:16" x14ac:dyDescent="0.2">
      <c r="A328" s="15">
        <v>186</v>
      </c>
      <c r="B328" s="16" t="s">
        <v>709</v>
      </c>
      <c r="C328" s="23">
        <v>2.64</v>
      </c>
      <c r="D328" s="46" t="s">
        <v>1016</v>
      </c>
      <c r="E328" s="23">
        <f>0.09/0.66*C328</f>
        <v>0.36</v>
      </c>
      <c r="F328" s="18">
        <v>7</v>
      </c>
      <c r="G328" s="19" t="s">
        <v>476</v>
      </c>
      <c r="H328" s="20" t="s">
        <v>432</v>
      </c>
      <c r="I328" s="5" t="s">
        <v>325</v>
      </c>
      <c r="J328" s="19" t="s">
        <v>326</v>
      </c>
      <c r="K328" s="19">
        <v>5</v>
      </c>
      <c r="L328" s="19">
        <v>2.5000000000000001E-4</v>
      </c>
      <c r="M328" s="22">
        <v>40</v>
      </c>
      <c r="N328" s="5" t="s">
        <v>696</v>
      </c>
      <c r="O328" s="5">
        <v>2010</v>
      </c>
      <c r="P328" s="20" t="s">
        <v>697</v>
      </c>
    </row>
    <row r="329" spans="1:16" ht="30" x14ac:dyDescent="0.2">
      <c r="A329" s="15">
        <v>214</v>
      </c>
      <c r="B329" s="16" t="s">
        <v>709</v>
      </c>
      <c r="C329" s="23">
        <v>1.6</v>
      </c>
      <c r="D329" s="46" t="s">
        <v>1023</v>
      </c>
      <c r="E329" s="23">
        <v>0.1</v>
      </c>
      <c r="F329" s="18">
        <v>7</v>
      </c>
      <c r="G329" s="19">
        <v>25</v>
      </c>
      <c r="H329" s="20" t="s">
        <v>670</v>
      </c>
      <c r="I329" s="5" t="s">
        <v>548</v>
      </c>
      <c r="J329" s="19" t="s">
        <v>469</v>
      </c>
      <c r="K329" s="19" t="s">
        <v>739</v>
      </c>
      <c r="L329" s="19" t="s">
        <v>740</v>
      </c>
      <c r="M329" s="22">
        <v>42</v>
      </c>
      <c r="N329" s="5" t="s">
        <v>672</v>
      </c>
      <c r="O329" s="5">
        <v>2010</v>
      </c>
      <c r="P329" s="20" t="s">
        <v>738</v>
      </c>
    </row>
    <row r="330" spans="1:16" x14ac:dyDescent="0.2">
      <c r="A330" s="15">
        <v>209</v>
      </c>
      <c r="B330" s="16" t="s">
        <v>732</v>
      </c>
      <c r="C330" s="19" t="s">
        <v>733</v>
      </c>
      <c r="D330" s="51" t="s">
        <v>970</v>
      </c>
      <c r="E330" s="19"/>
      <c r="F330" s="18">
        <v>7</v>
      </c>
      <c r="G330" s="19" t="s">
        <v>476</v>
      </c>
      <c r="H330" s="20" t="s">
        <v>432</v>
      </c>
      <c r="I330" s="5" t="s">
        <v>325</v>
      </c>
      <c r="J330" s="19" t="s">
        <v>326</v>
      </c>
      <c r="K330" s="19">
        <v>5</v>
      </c>
      <c r="L330" s="19">
        <v>2.5000000000000001E-4</v>
      </c>
      <c r="M330" s="22">
        <v>40</v>
      </c>
      <c r="N330" s="5" t="s">
        <v>696</v>
      </c>
      <c r="O330" s="5">
        <v>2010</v>
      </c>
      <c r="P330" s="20" t="s">
        <v>697</v>
      </c>
    </row>
    <row r="331" spans="1:16" x14ac:dyDescent="0.2">
      <c r="A331" s="15">
        <v>48</v>
      </c>
      <c r="B331" s="16" t="s">
        <v>431</v>
      </c>
      <c r="C331" s="23">
        <v>1.93</v>
      </c>
      <c r="D331" s="46" t="s">
        <v>970</v>
      </c>
      <c r="E331" s="23"/>
      <c r="F331" s="18">
        <v>6.7</v>
      </c>
      <c r="G331" s="19">
        <v>25</v>
      </c>
      <c r="H331" s="20" t="s">
        <v>432</v>
      </c>
      <c r="I331" s="5" t="s">
        <v>325</v>
      </c>
      <c r="J331" s="19" t="s">
        <v>326</v>
      </c>
      <c r="K331" s="19">
        <v>10</v>
      </c>
      <c r="L331" s="19">
        <v>4.0000000000000001E-3</v>
      </c>
      <c r="M331" s="22">
        <v>11</v>
      </c>
      <c r="N331" s="5" t="s">
        <v>433</v>
      </c>
      <c r="O331" s="5">
        <v>1981</v>
      </c>
      <c r="P331" s="20" t="s">
        <v>434</v>
      </c>
    </row>
    <row r="332" spans="1:16" x14ac:dyDescent="0.2">
      <c r="A332" s="15">
        <v>297</v>
      </c>
      <c r="B332" s="16" t="s">
        <v>884</v>
      </c>
      <c r="C332" s="19" t="s">
        <v>885</v>
      </c>
      <c r="D332" s="51" t="s">
        <v>970</v>
      </c>
      <c r="E332" s="19"/>
      <c r="F332" s="18">
        <v>5.6</v>
      </c>
      <c r="G332" s="19">
        <v>23</v>
      </c>
      <c r="H332" s="20" t="s">
        <v>489</v>
      </c>
      <c r="I332" s="5" t="s">
        <v>325</v>
      </c>
      <c r="J332" s="19" t="s">
        <v>326</v>
      </c>
      <c r="K332" s="19">
        <v>100</v>
      </c>
      <c r="L332" s="19">
        <f>0.0006</f>
        <v>5.9999999999999995E-4</v>
      </c>
      <c r="M332" s="22">
        <v>73</v>
      </c>
      <c r="N332" s="5" t="s">
        <v>875</v>
      </c>
      <c r="O332" s="5">
        <v>2019</v>
      </c>
      <c r="P332" s="20" t="s">
        <v>876</v>
      </c>
    </row>
    <row r="333" spans="1:16" x14ac:dyDescent="0.2">
      <c r="A333" s="35">
        <v>9</v>
      </c>
      <c r="B333" s="36" t="s">
        <v>349</v>
      </c>
      <c r="C333" s="42">
        <v>111</v>
      </c>
      <c r="D333" s="52" t="s">
        <v>1014</v>
      </c>
      <c r="E333" s="42">
        <v>6</v>
      </c>
      <c r="F333" s="38">
        <v>13</v>
      </c>
      <c r="G333" s="37">
        <v>25</v>
      </c>
      <c r="H333" s="39" t="s">
        <v>345</v>
      </c>
      <c r="I333" s="41" t="s">
        <v>325</v>
      </c>
      <c r="J333" s="37" t="s">
        <v>326</v>
      </c>
      <c r="K333" s="37" t="s">
        <v>350</v>
      </c>
      <c r="L333" s="37" t="s">
        <v>351</v>
      </c>
      <c r="M333" s="40">
        <v>2</v>
      </c>
      <c r="N333" s="41" t="s">
        <v>327</v>
      </c>
      <c r="O333" s="41">
        <v>1966</v>
      </c>
      <c r="P333" s="39" t="s">
        <v>343</v>
      </c>
    </row>
  </sheetData>
  <sortState xmlns:xlrd2="http://schemas.microsoft.com/office/spreadsheetml/2017/richdata2" ref="A2:P333">
    <sortCondition ref="B2:B333"/>
  </sortState>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E4595-E6F8-8A43-ACF7-AFE4E7E7DA03}">
  <dimension ref="A1:A333"/>
  <sheetViews>
    <sheetView tabSelected="1" topLeftCell="A62" workbookViewId="0">
      <selection activeCell="E9" sqref="E9"/>
    </sheetView>
  </sheetViews>
  <sheetFormatPr baseColWidth="10" defaultRowHeight="16" x14ac:dyDescent="0.2"/>
  <sheetData>
    <row r="1" spans="1:1" x14ac:dyDescent="0.2">
      <c r="A1" t="s">
        <v>1054</v>
      </c>
    </row>
    <row r="2" spans="1:1" x14ac:dyDescent="0.2">
      <c r="A2" t="s">
        <v>1055</v>
      </c>
    </row>
    <row r="3" spans="1:1" x14ac:dyDescent="0.2">
      <c r="A3" t="s">
        <v>1056</v>
      </c>
    </row>
    <row r="4" spans="1:1" x14ac:dyDescent="0.2">
      <c r="A4" t="s">
        <v>1057</v>
      </c>
    </row>
    <row r="5" spans="1:1" x14ac:dyDescent="0.2">
      <c r="A5" t="s">
        <v>1058</v>
      </c>
    </row>
    <row r="6" spans="1:1" x14ac:dyDescent="0.2">
      <c r="A6" t="s">
        <v>1059</v>
      </c>
    </row>
    <row r="7" spans="1:1" x14ac:dyDescent="0.2">
      <c r="A7" t="s">
        <v>1060</v>
      </c>
    </row>
    <row r="8" spans="1:1" x14ac:dyDescent="0.2">
      <c r="A8" t="s">
        <v>1061</v>
      </c>
    </row>
    <row r="9" spans="1:1" x14ac:dyDescent="0.2">
      <c r="A9" t="s">
        <v>1062</v>
      </c>
    </row>
    <row r="10" spans="1:1" x14ac:dyDescent="0.2">
      <c r="A10" t="s">
        <v>1063</v>
      </c>
    </row>
    <row r="11" spans="1:1" x14ac:dyDescent="0.2">
      <c r="A11" t="s">
        <v>1064</v>
      </c>
    </row>
    <row r="12" spans="1:1" x14ac:dyDescent="0.2">
      <c r="A12" t="s">
        <v>1065</v>
      </c>
    </row>
    <row r="13" spans="1:1" x14ac:dyDescent="0.2">
      <c r="A13" t="s">
        <v>1066</v>
      </c>
    </row>
    <row r="14" spans="1:1" x14ac:dyDescent="0.2">
      <c r="A14" t="s">
        <v>1067</v>
      </c>
    </row>
    <row r="15" spans="1:1" x14ac:dyDescent="0.2">
      <c r="A15" t="s">
        <v>1068</v>
      </c>
    </row>
    <row r="16" spans="1:1" x14ac:dyDescent="0.2">
      <c r="A16" t="s">
        <v>1069</v>
      </c>
    </row>
    <row r="17" spans="1:1" x14ac:dyDescent="0.2">
      <c r="A17" t="s">
        <v>1070</v>
      </c>
    </row>
    <row r="18" spans="1:1" x14ac:dyDescent="0.2">
      <c r="A18" t="s">
        <v>1071</v>
      </c>
    </row>
    <row r="19" spans="1:1" x14ac:dyDescent="0.2">
      <c r="A19" t="s">
        <v>1072</v>
      </c>
    </row>
    <row r="20" spans="1:1" x14ac:dyDescent="0.2">
      <c r="A20" t="s">
        <v>1073</v>
      </c>
    </row>
    <row r="21" spans="1:1" x14ac:dyDescent="0.2">
      <c r="A21" t="s">
        <v>1074</v>
      </c>
    </row>
    <row r="22" spans="1:1" x14ac:dyDescent="0.2">
      <c r="A22" t="s">
        <v>1075</v>
      </c>
    </row>
    <row r="23" spans="1:1" x14ac:dyDescent="0.2">
      <c r="A23" t="s">
        <v>1076</v>
      </c>
    </row>
    <row r="24" spans="1:1" x14ac:dyDescent="0.2">
      <c r="A24" t="s">
        <v>1077</v>
      </c>
    </row>
    <row r="25" spans="1:1" x14ac:dyDescent="0.2">
      <c r="A25" t="s">
        <v>1078</v>
      </c>
    </row>
    <row r="26" spans="1:1" x14ac:dyDescent="0.2">
      <c r="A26" t="s">
        <v>1079</v>
      </c>
    </row>
    <row r="27" spans="1:1" x14ac:dyDescent="0.2">
      <c r="A27" t="s">
        <v>1080</v>
      </c>
    </row>
    <row r="28" spans="1:1" x14ac:dyDescent="0.2">
      <c r="A28" t="s">
        <v>1081</v>
      </c>
    </row>
    <row r="29" spans="1:1" x14ac:dyDescent="0.2">
      <c r="A29" t="s">
        <v>1082</v>
      </c>
    </row>
    <row r="30" spans="1:1" x14ac:dyDescent="0.2">
      <c r="A30" t="s">
        <v>1083</v>
      </c>
    </row>
    <row r="31" spans="1:1" x14ac:dyDescent="0.2">
      <c r="A31" t="s">
        <v>1084</v>
      </c>
    </row>
    <row r="32" spans="1:1" x14ac:dyDescent="0.2">
      <c r="A32" t="s">
        <v>1085</v>
      </c>
    </row>
    <row r="33" spans="1:1" x14ac:dyDescent="0.2">
      <c r="A33" t="s">
        <v>1086</v>
      </c>
    </row>
    <row r="34" spans="1:1" x14ac:dyDescent="0.2">
      <c r="A34" t="s">
        <v>1087</v>
      </c>
    </row>
    <row r="35" spans="1:1" x14ac:dyDescent="0.2">
      <c r="A35" t="s">
        <v>1088</v>
      </c>
    </row>
    <row r="36" spans="1:1" x14ac:dyDescent="0.2">
      <c r="A36" t="s">
        <v>1089</v>
      </c>
    </row>
    <row r="37" spans="1:1" x14ac:dyDescent="0.2">
      <c r="A37" t="s">
        <v>1090</v>
      </c>
    </row>
    <row r="38" spans="1:1" x14ac:dyDescent="0.2">
      <c r="A38" t="s">
        <v>1091</v>
      </c>
    </row>
    <row r="39" spans="1:1" x14ac:dyDescent="0.2">
      <c r="A39" t="s">
        <v>1092</v>
      </c>
    </row>
    <row r="40" spans="1:1" x14ac:dyDescent="0.2">
      <c r="A40" t="s">
        <v>1093</v>
      </c>
    </row>
    <row r="41" spans="1:1" x14ac:dyDescent="0.2">
      <c r="A41" t="s">
        <v>1094</v>
      </c>
    </row>
    <row r="42" spans="1:1" x14ac:dyDescent="0.2">
      <c r="A42" t="s">
        <v>1095</v>
      </c>
    </row>
    <row r="43" spans="1:1" x14ac:dyDescent="0.2">
      <c r="A43" t="s">
        <v>1096</v>
      </c>
    </row>
    <row r="44" spans="1:1" x14ac:dyDescent="0.2">
      <c r="A44" t="s">
        <v>1097</v>
      </c>
    </row>
    <row r="45" spans="1:1" x14ac:dyDescent="0.2">
      <c r="A45" t="s">
        <v>1098</v>
      </c>
    </row>
    <row r="46" spans="1:1" x14ac:dyDescent="0.2">
      <c r="A46" t="s">
        <v>1099</v>
      </c>
    </row>
    <row r="47" spans="1:1" x14ac:dyDescent="0.2">
      <c r="A47" t="s">
        <v>1100</v>
      </c>
    </row>
    <row r="48" spans="1:1" x14ac:dyDescent="0.2">
      <c r="A48" t="s">
        <v>1101</v>
      </c>
    </row>
    <row r="49" spans="1:1" x14ac:dyDescent="0.2">
      <c r="A49" t="s">
        <v>1102</v>
      </c>
    </row>
    <row r="50" spans="1:1" x14ac:dyDescent="0.2">
      <c r="A50" t="s">
        <v>1103</v>
      </c>
    </row>
    <row r="51" spans="1:1" x14ac:dyDescent="0.2">
      <c r="A51" t="s">
        <v>1104</v>
      </c>
    </row>
    <row r="52" spans="1:1" x14ac:dyDescent="0.2">
      <c r="A52" t="s">
        <v>1105</v>
      </c>
    </row>
    <row r="53" spans="1:1" x14ac:dyDescent="0.2">
      <c r="A53" t="s">
        <v>1106</v>
      </c>
    </row>
    <row r="54" spans="1:1" x14ac:dyDescent="0.2">
      <c r="A54" t="s">
        <v>1107</v>
      </c>
    </row>
    <row r="55" spans="1:1" x14ac:dyDescent="0.2">
      <c r="A55" t="s">
        <v>1108</v>
      </c>
    </row>
    <row r="56" spans="1:1" x14ac:dyDescent="0.2">
      <c r="A56" t="s">
        <v>1109</v>
      </c>
    </row>
    <row r="57" spans="1:1" x14ac:dyDescent="0.2">
      <c r="A57" t="s">
        <v>1110</v>
      </c>
    </row>
    <row r="58" spans="1:1" x14ac:dyDescent="0.2">
      <c r="A58" t="s">
        <v>1111</v>
      </c>
    </row>
    <row r="59" spans="1:1" x14ac:dyDescent="0.2">
      <c r="A59" t="s">
        <v>1112</v>
      </c>
    </row>
    <row r="60" spans="1:1" x14ac:dyDescent="0.2">
      <c r="A60" t="s">
        <v>1113</v>
      </c>
    </row>
    <row r="61" spans="1:1" x14ac:dyDescent="0.2">
      <c r="A61" t="s">
        <v>1114</v>
      </c>
    </row>
    <row r="62" spans="1:1" x14ac:dyDescent="0.2">
      <c r="A62" t="s">
        <v>1115</v>
      </c>
    </row>
    <row r="63" spans="1:1" x14ac:dyDescent="0.2">
      <c r="A63" t="s">
        <v>1116</v>
      </c>
    </row>
    <row r="64" spans="1:1" x14ac:dyDescent="0.2">
      <c r="A64" t="s">
        <v>1117</v>
      </c>
    </row>
    <row r="65" spans="1:1" x14ac:dyDescent="0.2">
      <c r="A65" t="s">
        <v>1118</v>
      </c>
    </row>
    <row r="66" spans="1:1" x14ac:dyDescent="0.2">
      <c r="A66" t="s">
        <v>1119</v>
      </c>
    </row>
    <row r="67" spans="1:1" x14ac:dyDescent="0.2">
      <c r="A67" t="s">
        <v>1120</v>
      </c>
    </row>
    <row r="68" spans="1:1" x14ac:dyDescent="0.2">
      <c r="A68" t="s">
        <v>1121</v>
      </c>
    </row>
    <row r="69" spans="1:1" x14ac:dyDescent="0.2">
      <c r="A69" t="s">
        <v>1122</v>
      </c>
    </row>
    <row r="70" spans="1:1" x14ac:dyDescent="0.2">
      <c r="A70" t="s">
        <v>1123</v>
      </c>
    </row>
    <row r="71" spans="1:1" x14ac:dyDescent="0.2">
      <c r="A71" t="s">
        <v>1124</v>
      </c>
    </row>
    <row r="72" spans="1:1" x14ac:dyDescent="0.2">
      <c r="A72" t="s">
        <v>1125</v>
      </c>
    </row>
    <row r="73" spans="1:1" x14ac:dyDescent="0.2">
      <c r="A73" t="s">
        <v>1126</v>
      </c>
    </row>
    <row r="74" spans="1:1" x14ac:dyDescent="0.2">
      <c r="A74" t="s">
        <v>1127</v>
      </c>
    </row>
    <row r="75" spans="1:1" x14ac:dyDescent="0.2">
      <c r="A75" t="s">
        <v>1128</v>
      </c>
    </row>
    <row r="76" spans="1:1" x14ac:dyDescent="0.2">
      <c r="A76" t="s">
        <v>1129</v>
      </c>
    </row>
    <row r="77" spans="1:1" x14ac:dyDescent="0.2">
      <c r="A77" t="s">
        <v>1130</v>
      </c>
    </row>
    <row r="78" spans="1:1" x14ac:dyDescent="0.2">
      <c r="A78" t="s">
        <v>1131</v>
      </c>
    </row>
    <row r="79" spans="1:1" x14ac:dyDescent="0.2">
      <c r="A79" t="s">
        <v>1132</v>
      </c>
    </row>
    <row r="80" spans="1:1" x14ac:dyDescent="0.2">
      <c r="A80" t="s">
        <v>1133</v>
      </c>
    </row>
    <row r="81" spans="1:1" x14ac:dyDescent="0.2">
      <c r="A81" t="s">
        <v>1134</v>
      </c>
    </row>
    <row r="82" spans="1:1" x14ac:dyDescent="0.2">
      <c r="A82" t="s">
        <v>1135</v>
      </c>
    </row>
    <row r="83" spans="1:1" x14ac:dyDescent="0.2">
      <c r="A83" t="s">
        <v>1136</v>
      </c>
    </row>
    <row r="84" spans="1:1" x14ac:dyDescent="0.2">
      <c r="A84" t="s">
        <v>1137</v>
      </c>
    </row>
    <row r="85" spans="1:1" x14ac:dyDescent="0.2">
      <c r="A85" t="s">
        <v>1138</v>
      </c>
    </row>
    <row r="86" spans="1:1" x14ac:dyDescent="0.2">
      <c r="A86" t="s">
        <v>1139</v>
      </c>
    </row>
    <row r="87" spans="1:1" x14ac:dyDescent="0.2">
      <c r="A87" t="s">
        <v>1140</v>
      </c>
    </row>
    <row r="88" spans="1:1" x14ac:dyDescent="0.2">
      <c r="A88" t="s">
        <v>1141</v>
      </c>
    </row>
    <row r="89" spans="1:1" x14ac:dyDescent="0.2">
      <c r="A89" t="s">
        <v>1142</v>
      </c>
    </row>
    <row r="90" spans="1:1" x14ac:dyDescent="0.2">
      <c r="A90" t="s">
        <v>1143</v>
      </c>
    </row>
    <row r="91" spans="1:1" x14ac:dyDescent="0.2">
      <c r="A91" t="s">
        <v>1144</v>
      </c>
    </row>
    <row r="92" spans="1:1" x14ac:dyDescent="0.2">
      <c r="A92" t="s">
        <v>1145</v>
      </c>
    </row>
    <row r="93" spans="1:1" x14ac:dyDescent="0.2">
      <c r="A93" t="s">
        <v>1146</v>
      </c>
    </row>
    <row r="94" spans="1:1" x14ac:dyDescent="0.2">
      <c r="A94" t="s">
        <v>1147</v>
      </c>
    </row>
    <row r="95" spans="1:1" x14ac:dyDescent="0.2">
      <c r="A95" t="s">
        <v>1148</v>
      </c>
    </row>
    <row r="96" spans="1:1" x14ac:dyDescent="0.2">
      <c r="A96" t="s">
        <v>1149</v>
      </c>
    </row>
    <row r="97" spans="1:1" x14ac:dyDescent="0.2">
      <c r="A97" t="s">
        <v>1150</v>
      </c>
    </row>
    <row r="98" spans="1:1" x14ac:dyDescent="0.2">
      <c r="A98" t="s">
        <v>1151</v>
      </c>
    </row>
    <row r="99" spans="1:1" x14ac:dyDescent="0.2">
      <c r="A99" t="s">
        <v>1152</v>
      </c>
    </row>
    <row r="100" spans="1:1" x14ac:dyDescent="0.2">
      <c r="A100" t="s">
        <v>1153</v>
      </c>
    </row>
    <row r="101" spans="1:1" x14ac:dyDescent="0.2">
      <c r="A101" t="s">
        <v>1154</v>
      </c>
    </row>
    <row r="102" spans="1:1" x14ac:dyDescent="0.2">
      <c r="A102" t="s">
        <v>1155</v>
      </c>
    </row>
    <row r="103" spans="1:1" x14ac:dyDescent="0.2">
      <c r="A103" t="s">
        <v>1156</v>
      </c>
    </row>
    <row r="104" spans="1:1" x14ac:dyDescent="0.2">
      <c r="A104" t="s">
        <v>1157</v>
      </c>
    </row>
    <row r="105" spans="1:1" x14ac:dyDescent="0.2">
      <c r="A105" t="s">
        <v>1158</v>
      </c>
    </row>
    <row r="106" spans="1:1" x14ac:dyDescent="0.2">
      <c r="A106" t="s">
        <v>1159</v>
      </c>
    </row>
    <row r="107" spans="1:1" x14ac:dyDescent="0.2">
      <c r="A107" t="s">
        <v>1160</v>
      </c>
    </row>
    <row r="108" spans="1:1" x14ac:dyDescent="0.2">
      <c r="A108" t="s">
        <v>1161</v>
      </c>
    </row>
    <row r="109" spans="1:1" x14ac:dyDescent="0.2">
      <c r="A109" t="s">
        <v>1162</v>
      </c>
    </row>
    <row r="110" spans="1:1" x14ac:dyDescent="0.2">
      <c r="A110" t="s">
        <v>1163</v>
      </c>
    </row>
    <row r="111" spans="1:1" x14ac:dyDescent="0.2">
      <c r="A111" t="s">
        <v>1164</v>
      </c>
    </row>
    <row r="112" spans="1:1" x14ac:dyDescent="0.2">
      <c r="A112" t="s">
        <v>1165</v>
      </c>
    </row>
    <row r="113" spans="1:1" x14ac:dyDescent="0.2">
      <c r="A113" t="s">
        <v>1166</v>
      </c>
    </row>
    <row r="114" spans="1:1" x14ac:dyDescent="0.2">
      <c r="A114" t="s">
        <v>1167</v>
      </c>
    </row>
    <row r="115" spans="1:1" x14ac:dyDescent="0.2">
      <c r="A115" t="s">
        <v>1168</v>
      </c>
    </row>
    <row r="116" spans="1:1" x14ac:dyDescent="0.2">
      <c r="A116" t="s">
        <v>1169</v>
      </c>
    </row>
    <row r="117" spans="1:1" x14ac:dyDescent="0.2">
      <c r="A117" t="s">
        <v>1170</v>
      </c>
    </row>
    <row r="118" spans="1:1" x14ac:dyDescent="0.2">
      <c r="A118" t="s">
        <v>1171</v>
      </c>
    </row>
    <row r="119" spans="1:1" x14ac:dyDescent="0.2">
      <c r="A119" t="s">
        <v>1172</v>
      </c>
    </row>
    <row r="120" spans="1:1" x14ac:dyDescent="0.2">
      <c r="A120" t="s">
        <v>1173</v>
      </c>
    </row>
    <row r="121" spans="1:1" x14ac:dyDescent="0.2">
      <c r="A121" t="s">
        <v>1174</v>
      </c>
    </row>
    <row r="122" spans="1:1" x14ac:dyDescent="0.2">
      <c r="A122" t="s">
        <v>1175</v>
      </c>
    </row>
    <row r="123" spans="1:1" x14ac:dyDescent="0.2">
      <c r="A123" t="s">
        <v>1176</v>
      </c>
    </row>
    <row r="124" spans="1:1" x14ac:dyDescent="0.2">
      <c r="A124" t="s">
        <v>1177</v>
      </c>
    </row>
    <row r="125" spans="1:1" x14ac:dyDescent="0.2">
      <c r="A125" t="s">
        <v>1178</v>
      </c>
    </row>
    <row r="126" spans="1:1" x14ac:dyDescent="0.2">
      <c r="A126" t="s">
        <v>1179</v>
      </c>
    </row>
    <row r="127" spans="1:1" x14ac:dyDescent="0.2">
      <c r="A127" t="s">
        <v>1180</v>
      </c>
    </row>
    <row r="128" spans="1:1" x14ac:dyDescent="0.2">
      <c r="A128" t="s">
        <v>1181</v>
      </c>
    </row>
    <row r="129" spans="1:1" x14ac:dyDescent="0.2">
      <c r="A129" t="s">
        <v>1182</v>
      </c>
    </row>
    <row r="130" spans="1:1" x14ac:dyDescent="0.2">
      <c r="A130" t="s">
        <v>1183</v>
      </c>
    </row>
    <row r="131" spans="1:1" x14ac:dyDescent="0.2">
      <c r="A131" t="s">
        <v>1184</v>
      </c>
    </row>
    <row r="132" spans="1:1" x14ac:dyDescent="0.2">
      <c r="A132" t="s">
        <v>1185</v>
      </c>
    </row>
    <row r="133" spans="1:1" x14ac:dyDescent="0.2">
      <c r="A133" t="s">
        <v>1186</v>
      </c>
    </row>
    <row r="134" spans="1:1" x14ac:dyDescent="0.2">
      <c r="A134" t="s">
        <v>1187</v>
      </c>
    </row>
    <row r="135" spans="1:1" x14ac:dyDescent="0.2">
      <c r="A135" t="s">
        <v>1188</v>
      </c>
    </row>
    <row r="136" spans="1:1" x14ac:dyDescent="0.2">
      <c r="A136" t="s">
        <v>1189</v>
      </c>
    </row>
    <row r="137" spans="1:1" x14ac:dyDescent="0.2">
      <c r="A137" t="s">
        <v>1190</v>
      </c>
    </row>
    <row r="138" spans="1:1" x14ac:dyDescent="0.2">
      <c r="A138" t="s">
        <v>1191</v>
      </c>
    </row>
    <row r="139" spans="1:1" x14ac:dyDescent="0.2">
      <c r="A139" t="s">
        <v>1192</v>
      </c>
    </row>
    <row r="140" spans="1:1" x14ac:dyDescent="0.2">
      <c r="A140" t="s">
        <v>1193</v>
      </c>
    </row>
    <row r="141" spans="1:1" x14ac:dyDescent="0.2">
      <c r="A141" t="s">
        <v>1194</v>
      </c>
    </row>
    <row r="142" spans="1:1" x14ac:dyDescent="0.2">
      <c r="A142" t="s">
        <v>1195</v>
      </c>
    </row>
    <row r="143" spans="1:1" x14ac:dyDescent="0.2">
      <c r="A143" t="s">
        <v>1196</v>
      </c>
    </row>
    <row r="144" spans="1:1" x14ac:dyDescent="0.2">
      <c r="A144" t="s">
        <v>1197</v>
      </c>
    </row>
    <row r="145" spans="1:1" x14ac:dyDescent="0.2">
      <c r="A145" t="s">
        <v>1198</v>
      </c>
    </row>
    <row r="146" spans="1:1" x14ac:dyDescent="0.2">
      <c r="A146" t="s">
        <v>1199</v>
      </c>
    </row>
    <row r="147" spans="1:1" x14ac:dyDescent="0.2">
      <c r="A147" t="s">
        <v>1200</v>
      </c>
    </row>
    <row r="148" spans="1:1" x14ac:dyDescent="0.2">
      <c r="A148" t="s">
        <v>1201</v>
      </c>
    </row>
    <row r="149" spans="1:1" x14ac:dyDescent="0.2">
      <c r="A149" t="s">
        <v>1202</v>
      </c>
    </row>
    <row r="150" spans="1:1" x14ac:dyDescent="0.2">
      <c r="A150" t="s">
        <v>1203</v>
      </c>
    </row>
    <row r="151" spans="1:1" x14ac:dyDescent="0.2">
      <c r="A151" t="s">
        <v>1204</v>
      </c>
    </row>
    <row r="152" spans="1:1" x14ac:dyDescent="0.2">
      <c r="A152" t="s">
        <v>1205</v>
      </c>
    </row>
    <row r="153" spans="1:1" x14ac:dyDescent="0.2">
      <c r="A153" t="s">
        <v>1206</v>
      </c>
    </row>
    <row r="154" spans="1:1" x14ac:dyDescent="0.2">
      <c r="A154" t="s">
        <v>1207</v>
      </c>
    </row>
    <row r="155" spans="1:1" x14ac:dyDescent="0.2">
      <c r="A155" t="s">
        <v>1208</v>
      </c>
    </row>
    <row r="156" spans="1:1" x14ac:dyDescent="0.2">
      <c r="A156" t="s">
        <v>1209</v>
      </c>
    </row>
    <row r="157" spans="1:1" x14ac:dyDescent="0.2">
      <c r="A157" t="s">
        <v>1210</v>
      </c>
    </row>
    <row r="158" spans="1:1" x14ac:dyDescent="0.2">
      <c r="A158" t="s">
        <v>1211</v>
      </c>
    </row>
    <row r="159" spans="1:1" x14ac:dyDescent="0.2">
      <c r="A159" t="s">
        <v>1212</v>
      </c>
    </row>
    <row r="160" spans="1:1" x14ac:dyDescent="0.2">
      <c r="A160" t="s">
        <v>1213</v>
      </c>
    </row>
    <row r="161" spans="1:1" x14ac:dyDescent="0.2">
      <c r="A161" t="s">
        <v>1214</v>
      </c>
    </row>
    <row r="162" spans="1:1" x14ac:dyDescent="0.2">
      <c r="A162" t="s">
        <v>1215</v>
      </c>
    </row>
    <row r="163" spans="1:1" x14ac:dyDescent="0.2">
      <c r="A163" t="s">
        <v>1216</v>
      </c>
    </row>
    <row r="164" spans="1:1" x14ac:dyDescent="0.2">
      <c r="A164" t="s">
        <v>1217</v>
      </c>
    </row>
    <row r="165" spans="1:1" x14ac:dyDescent="0.2">
      <c r="A165" t="s">
        <v>1218</v>
      </c>
    </row>
    <row r="166" spans="1:1" x14ac:dyDescent="0.2">
      <c r="A166" t="s">
        <v>1219</v>
      </c>
    </row>
    <row r="167" spans="1:1" x14ac:dyDescent="0.2">
      <c r="A167" t="s">
        <v>1220</v>
      </c>
    </row>
    <row r="168" spans="1:1" x14ac:dyDescent="0.2">
      <c r="A168" t="s">
        <v>1221</v>
      </c>
    </row>
    <row r="169" spans="1:1" x14ac:dyDescent="0.2">
      <c r="A169" t="s">
        <v>1222</v>
      </c>
    </row>
    <row r="170" spans="1:1" x14ac:dyDescent="0.2">
      <c r="A170" t="s">
        <v>1223</v>
      </c>
    </row>
    <row r="171" spans="1:1" x14ac:dyDescent="0.2">
      <c r="A171" t="s">
        <v>1224</v>
      </c>
    </row>
    <row r="172" spans="1:1" x14ac:dyDescent="0.2">
      <c r="A172" t="s">
        <v>1225</v>
      </c>
    </row>
    <row r="173" spans="1:1" x14ac:dyDescent="0.2">
      <c r="A173" t="s">
        <v>1226</v>
      </c>
    </row>
    <row r="174" spans="1:1" x14ac:dyDescent="0.2">
      <c r="A174" t="s">
        <v>1227</v>
      </c>
    </row>
    <row r="175" spans="1:1" x14ac:dyDescent="0.2">
      <c r="A175" t="s">
        <v>1228</v>
      </c>
    </row>
    <row r="176" spans="1:1" x14ac:dyDescent="0.2">
      <c r="A176" t="s">
        <v>1229</v>
      </c>
    </row>
    <row r="177" spans="1:1" x14ac:dyDescent="0.2">
      <c r="A177" t="s">
        <v>1230</v>
      </c>
    </row>
    <row r="178" spans="1:1" x14ac:dyDescent="0.2">
      <c r="A178" t="s">
        <v>1231</v>
      </c>
    </row>
    <row r="179" spans="1:1" x14ac:dyDescent="0.2">
      <c r="A179" t="s">
        <v>1232</v>
      </c>
    </row>
    <row r="180" spans="1:1" x14ac:dyDescent="0.2">
      <c r="A180" t="s">
        <v>1233</v>
      </c>
    </row>
    <row r="181" spans="1:1" x14ac:dyDescent="0.2">
      <c r="A181" t="s">
        <v>1234</v>
      </c>
    </row>
    <row r="182" spans="1:1" x14ac:dyDescent="0.2">
      <c r="A182" t="s">
        <v>1235</v>
      </c>
    </row>
    <row r="183" spans="1:1" x14ac:dyDescent="0.2">
      <c r="A183" t="s">
        <v>1236</v>
      </c>
    </row>
    <row r="184" spans="1:1" x14ac:dyDescent="0.2">
      <c r="A184" t="s">
        <v>1237</v>
      </c>
    </row>
    <row r="185" spans="1:1" x14ac:dyDescent="0.2">
      <c r="A185" t="s">
        <v>1238</v>
      </c>
    </row>
    <row r="186" spans="1:1" x14ac:dyDescent="0.2">
      <c r="A186" t="s">
        <v>1239</v>
      </c>
    </row>
    <row r="187" spans="1:1" x14ac:dyDescent="0.2">
      <c r="A187" t="s">
        <v>1240</v>
      </c>
    </row>
    <row r="188" spans="1:1" x14ac:dyDescent="0.2">
      <c r="A188" t="s">
        <v>1241</v>
      </c>
    </row>
    <row r="189" spans="1:1" x14ac:dyDescent="0.2">
      <c r="A189" t="s">
        <v>1242</v>
      </c>
    </row>
    <row r="190" spans="1:1" x14ac:dyDescent="0.2">
      <c r="A190" t="s">
        <v>1243</v>
      </c>
    </row>
    <row r="191" spans="1:1" x14ac:dyDescent="0.2">
      <c r="A191" t="s">
        <v>1244</v>
      </c>
    </row>
    <row r="192" spans="1:1" x14ac:dyDescent="0.2">
      <c r="A192" t="s">
        <v>1245</v>
      </c>
    </row>
    <row r="193" spans="1:1" x14ac:dyDescent="0.2">
      <c r="A193" t="s">
        <v>1246</v>
      </c>
    </row>
    <row r="194" spans="1:1" x14ac:dyDescent="0.2">
      <c r="A194" t="s">
        <v>1247</v>
      </c>
    </row>
    <row r="195" spans="1:1" x14ac:dyDescent="0.2">
      <c r="A195" t="s">
        <v>1248</v>
      </c>
    </row>
    <row r="196" spans="1:1" x14ac:dyDescent="0.2">
      <c r="A196" t="s">
        <v>1249</v>
      </c>
    </row>
    <row r="197" spans="1:1" x14ac:dyDescent="0.2">
      <c r="A197" t="s">
        <v>1250</v>
      </c>
    </row>
    <row r="198" spans="1:1" x14ac:dyDescent="0.2">
      <c r="A198" t="s">
        <v>1251</v>
      </c>
    </row>
    <row r="199" spans="1:1" x14ac:dyDescent="0.2">
      <c r="A199" t="s">
        <v>1252</v>
      </c>
    </row>
    <row r="200" spans="1:1" x14ac:dyDescent="0.2">
      <c r="A200" t="s">
        <v>1253</v>
      </c>
    </row>
    <row r="201" spans="1:1" x14ac:dyDescent="0.2">
      <c r="A201" t="s">
        <v>1254</v>
      </c>
    </row>
    <row r="202" spans="1:1" x14ac:dyDescent="0.2">
      <c r="A202" t="s">
        <v>1255</v>
      </c>
    </row>
    <row r="203" spans="1:1" x14ac:dyDescent="0.2">
      <c r="A203" t="s">
        <v>1256</v>
      </c>
    </row>
    <row r="204" spans="1:1" x14ac:dyDescent="0.2">
      <c r="A204" t="s">
        <v>1257</v>
      </c>
    </row>
    <row r="205" spans="1:1" x14ac:dyDescent="0.2">
      <c r="A205" t="s">
        <v>1258</v>
      </c>
    </row>
    <row r="206" spans="1:1" x14ac:dyDescent="0.2">
      <c r="A206" t="s">
        <v>1259</v>
      </c>
    </row>
    <row r="207" spans="1:1" x14ac:dyDescent="0.2">
      <c r="A207" t="s">
        <v>1260</v>
      </c>
    </row>
    <row r="208" spans="1:1" x14ac:dyDescent="0.2">
      <c r="A208" t="s">
        <v>1261</v>
      </c>
    </row>
    <row r="209" spans="1:1" x14ac:dyDescent="0.2">
      <c r="A209" t="s">
        <v>1262</v>
      </c>
    </row>
    <row r="210" spans="1:1" x14ac:dyDescent="0.2">
      <c r="A210" t="s">
        <v>1263</v>
      </c>
    </row>
    <row r="211" spans="1:1" x14ac:dyDescent="0.2">
      <c r="A211" t="s">
        <v>1264</v>
      </c>
    </row>
    <row r="212" spans="1:1" x14ac:dyDescent="0.2">
      <c r="A212" t="s">
        <v>1265</v>
      </c>
    </row>
    <row r="213" spans="1:1" x14ac:dyDescent="0.2">
      <c r="A213" t="s">
        <v>1266</v>
      </c>
    </row>
    <row r="214" spans="1:1" x14ac:dyDescent="0.2">
      <c r="A214" t="s">
        <v>1267</v>
      </c>
    </row>
    <row r="215" spans="1:1" x14ac:dyDescent="0.2">
      <c r="A215" t="s">
        <v>1268</v>
      </c>
    </row>
    <row r="216" spans="1:1" x14ac:dyDescent="0.2">
      <c r="A216" t="s">
        <v>1269</v>
      </c>
    </row>
    <row r="217" spans="1:1" x14ac:dyDescent="0.2">
      <c r="A217" t="s">
        <v>1270</v>
      </c>
    </row>
    <row r="218" spans="1:1" x14ac:dyDescent="0.2">
      <c r="A218" t="s">
        <v>1271</v>
      </c>
    </row>
    <row r="219" spans="1:1" x14ac:dyDescent="0.2">
      <c r="A219" t="s">
        <v>1272</v>
      </c>
    </row>
    <row r="220" spans="1:1" x14ac:dyDescent="0.2">
      <c r="A220" t="s">
        <v>1273</v>
      </c>
    </row>
    <row r="221" spans="1:1" x14ac:dyDescent="0.2">
      <c r="A221" t="s">
        <v>1274</v>
      </c>
    </row>
    <row r="222" spans="1:1" x14ac:dyDescent="0.2">
      <c r="A222" t="s">
        <v>1275</v>
      </c>
    </row>
    <row r="223" spans="1:1" x14ac:dyDescent="0.2">
      <c r="A223" t="s">
        <v>1276</v>
      </c>
    </row>
    <row r="224" spans="1:1" x14ac:dyDescent="0.2">
      <c r="A224" t="s">
        <v>1277</v>
      </c>
    </row>
    <row r="225" spans="1:1" x14ac:dyDescent="0.2">
      <c r="A225" t="s">
        <v>1278</v>
      </c>
    </row>
    <row r="226" spans="1:1" x14ac:dyDescent="0.2">
      <c r="A226" t="s">
        <v>1279</v>
      </c>
    </row>
    <row r="227" spans="1:1" x14ac:dyDescent="0.2">
      <c r="A227" t="s">
        <v>1280</v>
      </c>
    </row>
    <row r="228" spans="1:1" x14ac:dyDescent="0.2">
      <c r="A228" t="s">
        <v>1281</v>
      </c>
    </row>
    <row r="229" spans="1:1" x14ac:dyDescent="0.2">
      <c r="A229" t="s">
        <v>1282</v>
      </c>
    </row>
    <row r="230" spans="1:1" x14ac:dyDescent="0.2">
      <c r="A230" t="s">
        <v>1283</v>
      </c>
    </row>
    <row r="231" spans="1:1" x14ac:dyDescent="0.2">
      <c r="A231" t="s">
        <v>1284</v>
      </c>
    </row>
    <row r="232" spans="1:1" x14ac:dyDescent="0.2">
      <c r="A232" t="s">
        <v>1285</v>
      </c>
    </row>
    <row r="233" spans="1:1" x14ac:dyDescent="0.2">
      <c r="A233" t="s">
        <v>1286</v>
      </c>
    </row>
    <row r="234" spans="1:1" x14ac:dyDescent="0.2">
      <c r="A234" t="s">
        <v>1287</v>
      </c>
    </row>
    <row r="235" spans="1:1" x14ac:dyDescent="0.2">
      <c r="A235" t="s">
        <v>1288</v>
      </c>
    </row>
    <row r="236" spans="1:1" x14ac:dyDescent="0.2">
      <c r="A236" t="s">
        <v>1289</v>
      </c>
    </row>
    <row r="237" spans="1:1" x14ac:dyDescent="0.2">
      <c r="A237" t="s">
        <v>1290</v>
      </c>
    </row>
    <row r="238" spans="1:1" x14ac:dyDescent="0.2">
      <c r="A238" t="s">
        <v>1291</v>
      </c>
    </row>
    <row r="239" spans="1:1" x14ac:dyDescent="0.2">
      <c r="A239" t="s">
        <v>1292</v>
      </c>
    </row>
    <row r="240" spans="1:1" x14ac:dyDescent="0.2">
      <c r="A240" t="s">
        <v>1293</v>
      </c>
    </row>
    <row r="241" spans="1:1" x14ac:dyDescent="0.2">
      <c r="A241" t="s">
        <v>1294</v>
      </c>
    </row>
    <row r="242" spans="1:1" x14ac:dyDescent="0.2">
      <c r="A242" t="s">
        <v>1295</v>
      </c>
    </row>
    <row r="243" spans="1:1" x14ac:dyDescent="0.2">
      <c r="A243" t="s">
        <v>1296</v>
      </c>
    </row>
    <row r="244" spans="1:1" x14ac:dyDescent="0.2">
      <c r="A244" t="s">
        <v>1297</v>
      </c>
    </row>
    <row r="245" spans="1:1" x14ac:dyDescent="0.2">
      <c r="A245" t="s">
        <v>1298</v>
      </c>
    </row>
    <row r="246" spans="1:1" x14ac:dyDescent="0.2">
      <c r="A246" t="s">
        <v>1299</v>
      </c>
    </row>
    <row r="247" spans="1:1" x14ac:dyDescent="0.2">
      <c r="A247" t="s">
        <v>1300</v>
      </c>
    </row>
    <row r="248" spans="1:1" x14ac:dyDescent="0.2">
      <c r="A248" t="s">
        <v>1301</v>
      </c>
    </row>
    <row r="249" spans="1:1" x14ac:dyDescent="0.2">
      <c r="A249" t="s">
        <v>1302</v>
      </c>
    </row>
    <row r="250" spans="1:1" x14ac:dyDescent="0.2">
      <c r="A250" t="s">
        <v>1303</v>
      </c>
    </row>
    <row r="251" spans="1:1" x14ac:dyDescent="0.2">
      <c r="A251" t="s">
        <v>1304</v>
      </c>
    </row>
    <row r="252" spans="1:1" x14ac:dyDescent="0.2">
      <c r="A252" t="s">
        <v>1305</v>
      </c>
    </row>
    <row r="253" spans="1:1" x14ac:dyDescent="0.2">
      <c r="A253" t="s">
        <v>1306</v>
      </c>
    </row>
    <row r="254" spans="1:1" x14ac:dyDescent="0.2">
      <c r="A254" t="s">
        <v>1307</v>
      </c>
    </row>
    <row r="255" spans="1:1" x14ac:dyDescent="0.2">
      <c r="A255" t="s">
        <v>1308</v>
      </c>
    </row>
    <row r="256" spans="1:1" x14ac:dyDescent="0.2">
      <c r="A256" t="s">
        <v>1309</v>
      </c>
    </row>
    <row r="257" spans="1:1" x14ac:dyDescent="0.2">
      <c r="A257" t="s">
        <v>1310</v>
      </c>
    </row>
    <row r="258" spans="1:1" x14ac:dyDescent="0.2">
      <c r="A258" t="s">
        <v>1311</v>
      </c>
    </row>
    <row r="259" spans="1:1" x14ac:dyDescent="0.2">
      <c r="A259" t="s">
        <v>1312</v>
      </c>
    </row>
    <row r="260" spans="1:1" x14ac:dyDescent="0.2">
      <c r="A260" t="s">
        <v>1313</v>
      </c>
    </row>
    <row r="261" spans="1:1" x14ac:dyDescent="0.2">
      <c r="A261" t="s">
        <v>1314</v>
      </c>
    </row>
    <row r="262" spans="1:1" x14ac:dyDescent="0.2">
      <c r="A262" t="s">
        <v>1315</v>
      </c>
    </row>
    <row r="263" spans="1:1" x14ac:dyDescent="0.2">
      <c r="A263" t="s">
        <v>1316</v>
      </c>
    </row>
    <row r="264" spans="1:1" x14ac:dyDescent="0.2">
      <c r="A264" t="s">
        <v>1317</v>
      </c>
    </row>
    <row r="265" spans="1:1" x14ac:dyDescent="0.2">
      <c r="A265" t="s">
        <v>1318</v>
      </c>
    </row>
    <row r="266" spans="1:1" x14ac:dyDescent="0.2">
      <c r="A266" t="s">
        <v>1319</v>
      </c>
    </row>
    <row r="267" spans="1:1" x14ac:dyDescent="0.2">
      <c r="A267" t="s">
        <v>1320</v>
      </c>
    </row>
    <row r="268" spans="1:1" x14ac:dyDescent="0.2">
      <c r="A268" t="s">
        <v>1321</v>
      </c>
    </row>
    <row r="269" spans="1:1" x14ac:dyDescent="0.2">
      <c r="A269" t="s">
        <v>1322</v>
      </c>
    </row>
    <row r="270" spans="1:1" x14ac:dyDescent="0.2">
      <c r="A270" t="s">
        <v>1323</v>
      </c>
    </row>
    <row r="271" spans="1:1" x14ac:dyDescent="0.2">
      <c r="A271" t="s">
        <v>1324</v>
      </c>
    </row>
    <row r="272" spans="1:1" x14ac:dyDescent="0.2">
      <c r="A272" t="s">
        <v>1325</v>
      </c>
    </row>
    <row r="273" spans="1:1" x14ac:dyDescent="0.2">
      <c r="A273" t="s">
        <v>1326</v>
      </c>
    </row>
    <row r="274" spans="1:1" x14ac:dyDescent="0.2">
      <c r="A274" t="s">
        <v>1327</v>
      </c>
    </row>
    <row r="275" spans="1:1" x14ac:dyDescent="0.2">
      <c r="A275" t="s">
        <v>1328</v>
      </c>
    </row>
    <row r="276" spans="1:1" x14ac:dyDescent="0.2">
      <c r="A276" t="s">
        <v>1329</v>
      </c>
    </row>
    <row r="277" spans="1:1" x14ac:dyDescent="0.2">
      <c r="A277" t="s">
        <v>1330</v>
      </c>
    </row>
    <row r="278" spans="1:1" x14ac:dyDescent="0.2">
      <c r="A278" t="s">
        <v>1331</v>
      </c>
    </row>
    <row r="279" spans="1:1" x14ac:dyDescent="0.2">
      <c r="A279" t="s">
        <v>1332</v>
      </c>
    </row>
    <row r="280" spans="1:1" x14ac:dyDescent="0.2">
      <c r="A280" t="s">
        <v>1333</v>
      </c>
    </row>
    <row r="281" spans="1:1" x14ac:dyDescent="0.2">
      <c r="A281" t="s">
        <v>1334</v>
      </c>
    </row>
    <row r="282" spans="1:1" x14ac:dyDescent="0.2">
      <c r="A282" t="s">
        <v>1335</v>
      </c>
    </row>
    <row r="283" spans="1:1" x14ac:dyDescent="0.2">
      <c r="A283" t="s">
        <v>1336</v>
      </c>
    </row>
    <row r="284" spans="1:1" x14ac:dyDescent="0.2">
      <c r="A284" t="s">
        <v>1337</v>
      </c>
    </row>
    <row r="285" spans="1:1" x14ac:dyDescent="0.2">
      <c r="A285" t="s">
        <v>1338</v>
      </c>
    </row>
    <row r="286" spans="1:1" x14ac:dyDescent="0.2">
      <c r="A286" t="s">
        <v>1339</v>
      </c>
    </row>
    <row r="287" spans="1:1" x14ac:dyDescent="0.2">
      <c r="A287" t="s">
        <v>1340</v>
      </c>
    </row>
    <row r="288" spans="1:1" x14ac:dyDescent="0.2">
      <c r="A288" t="s">
        <v>1341</v>
      </c>
    </row>
    <row r="289" spans="1:1" x14ac:dyDescent="0.2">
      <c r="A289" t="s">
        <v>1342</v>
      </c>
    </row>
    <row r="290" spans="1:1" x14ac:dyDescent="0.2">
      <c r="A290" t="s">
        <v>1343</v>
      </c>
    </row>
    <row r="291" spans="1:1" x14ac:dyDescent="0.2">
      <c r="A291" t="s">
        <v>1344</v>
      </c>
    </row>
    <row r="292" spans="1:1" x14ac:dyDescent="0.2">
      <c r="A292" t="s">
        <v>1345</v>
      </c>
    </row>
    <row r="293" spans="1:1" x14ac:dyDescent="0.2">
      <c r="A293" t="s">
        <v>1346</v>
      </c>
    </row>
    <row r="294" spans="1:1" x14ac:dyDescent="0.2">
      <c r="A294" t="s">
        <v>1347</v>
      </c>
    </row>
    <row r="295" spans="1:1" x14ac:dyDescent="0.2">
      <c r="A295" t="s">
        <v>1348</v>
      </c>
    </row>
    <row r="296" spans="1:1" x14ac:dyDescent="0.2">
      <c r="A296" t="s">
        <v>1349</v>
      </c>
    </row>
    <row r="297" spans="1:1" x14ac:dyDescent="0.2">
      <c r="A297" t="s">
        <v>1350</v>
      </c>
    </row>
    <row r="298" spans="1:1" x14ac:dyDescent="0.2">
      <c r="A298" t="s">
        <v>1351</v>
      </c>
    </row>
    <row r="299" spans="1:1" x14ac:dyDescent="0.2">
      <c r="A299" t="s">
        <v>1352</v>
      </c>
    </row>
    <row r="300" spans="1:1" x14ac:dyDescent="0.2">
      <c r="A300" t="s">
        <v>1353</v>
      </c>
    </row>
    <row r="301" spans="1:1" x14ac:dyDescent="0.2">
      <c r="A301" t="s">
        <v>1354</v>
      </c>
    </row>
    <row r="302" spans="1:1" x14ac:dyDescent="0.2">
      <c r="A302" t="s">
        <v>1355</v>
      </c>
    </row>
    <row r="303" spans="1:1" x14ac:dyDescent="0.2">
      <c r="A303" t="s">
        <v>1356</v>
      </c>
    </row>
    <row r="304" spans="1:1" x14ac:dyDescent="0.2">
      <c r="A304" t="s">
        <v>1357</v>
      </c>
    </row>
    <row r="305" spans="1:1" x14ac:dyDescent="0.2">
      <c r="A305" t="s">
        <v>1358</v>
      </c>
    </row>
    <row r="306" spans="1:1" x14ac:dyDescent="0.2">
      <c r="A306" t="s">
        <v>1359</v>
      </c>
    </row>
    <row r="307" spans="1:1" x14ac:dyDescent="0.2">
      <c r="A307" t="s">
        <v>1360</v>
      </c>
    </row>
    <row r="308" spans="1:1" x14ac:dyDescent="0.2">
      <c r="A308" t="s">
        <v>1361</v>
      </c>
    </row>
    <row r="309" spans="1:1" x14ac:dyDescent="0.2">
      <c r="A309" t="s">
        <v>1362</v>
      </c>
    </row>
    <row r="310" spans="1:1" x14ac:dyDescent="0.2">
      <c r="A310" t="s">
        <v>1363</v>
      </c>
    </row>
    <row r="311" spans="1:1" x14ac:dyDescent="0.2">
      <c r="A311" t="s">
        <v>1364</v>
      </c>
    </row>
    <row r="312" spans="1:1" x14ac:dyDescent="0.2">
      <c r="A312" t="s">
        <v>1365</v>
      </c>
    </row>
    <row r="313" spans="1:1" x14ac:dyDescent="0.2">
      <c r="A313" t="s">
        <v>1366</v>
      </c>
    </row>
    <row r="314" spans="1:1" x14ac:dyDescent="0.2">
      <c r="A314" t="s">
        <v>1367</v>
      </c>
    </row>
    <row r="315" spans="1:1" x14ac:dyDescent="0.2">
      <c r="A315" t="s">
        <v>1368</v>
      </c>
    </row>
    <row r="316" spans="1:1" x14ac:dyDescent="0.2">
      <c r="A316" t="s">
        <v>1369</v>
      </c>
    </row>
    <row r="317" spans="1:1" x14ac:dyDescent="0.2">
      <c r="A317" t="s">
        <v>1370</v>
      </c>
    </row>
    <row r="318" spans="1:1" x14ac:dyDescent="0.2">
      <c r="A318" t="s">
        <v>1371</v>
      </c>
    </row>
    <row r="319" spans="1:1" x14ac:dyDescent="0.2">
      <c r="A319" t="s">
        <v>1372</v>
      </c>
    </row>
    <row r="320" spans="1:1" x14ac:dyDescent="0.2">
      <c r="A320" t="s">
        <v>1373</v>
      </c>
    </row>
    <row r="321" spans="1:1" x14ac:dyDescent="0.2">
      <c r="A321" t="s">
        <v>1374</v>
      </c>
    </row>
    <row r="322" spans="1:1" x14ac:dyDescent="0.2">
      <c r="A322" t="s">
        <v>1375</v>
      </c>
    </row>
    <row r="323" spans="1:1" x14ac:dyDescent="0.2">
      <c r="A323" t="s">
        <v>1376</v>
      </c>
    </row>
    <row r="324" spans="1:1" x14ac:dyDescent="0.2">
      <c r="A324" t="s">
        <v>1377</v>
      </c>
    </row>
    <row r="325" spans="1:1" x14ac:dyDescent="0.2">
      <c r="A325" t="s">
        <v>1378</v>
      </c>
    </row>
    <row r="326" spans="1:1" x14ac:dyDescent="0.2">
      <c r="A326" t="s">
        <v>1379</v>
      </c>
    </row>
    <row r="327" spans="1:1" x14ac:dyDescent="0.2">
      <c r="A327" t="s">
        <v>1380</v>
      </c>
    </row>
    <row r="328" spans="1:1" x14ac:dyDescent="0.2">
      <c r="A328" t="s">
        <v>1381</v>
      </c>
    </row>
    <row r="329" spans="1:1" x14ac:dyDescent="0.2">
      <c r="A329" t="s">
        <v>1382</v>
      </c>
    </row>
    <row r="330" spans="1:1" x14ac:dyDescent="0.2">
      <c r="A330" t="s">
        <v>1383</v>
      </c>
    </row>
    <row r="331" spans="1:1" x14ac:dyDescent="0.2">
      <c r="A331" t="s">
        <v>1384</v>
      </c>
    </row>
    <row r="332" spans="1:1" x14ac:dyDescent="0.2">
      <c r="A332" t="s">
        <v>1385</v>
      </c>
    </row>
    <row r="333" spans="1:1" x14ac:dyDescent="0.2">
      <c r="A333" t="s">
        <v>1386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5C226-0DFE-404E-8D9E-919E68DDB5F3}">
  <dimension ref="A1:AB71"/>
  <sheetViews>
    <sheetView zoomScale="66" workbookViewId="0">
      <selection activeCell="M42" sqref="M42"/>
    </sheetView>
  </sheetViews>
  <sheetFormatPr baseColWidth="10" defaultRowHeight="16" x14ac:dyDescent="0.2"/>
  <cols>
    <col min="7" max="7" width="18.1640625" bestFit="1" customWidth="1"/>
    <col min="8" max="8" width="18.1640625" customWidth="1"/>
    <col min="12" max="12" width="12.33203125" bestFit="1" customWidth="1"/>
    <col min="13" max="13" width="18.33203125" style="2" customWidth="1"/>
    <col min="16" max="16" width="17.1640625" bestFit="1" customWidth="1"/>
    <col min="17" max="17" width="14.33203125" bestFit="1" customWidth="1"/>
    <col min="20" max="20" width="12.33203125" bestFit="1" customWidth="1"/>
    <col min="21" max="21" width="24.1640625" bestFit="1" customWidth="1"/>
  </cols>
  <sheetData>
    <row r="1" spans="1:28" x14ac:dyDescent="0.2">
      <c r="A1" t="s">
        <v>0</v>
      </c>
      <c r="B1" t="s">
        <v>261</v>
      </c>
      <c r="C1" t="s">
        <v>262</v>
      </c>
      <c r="D1" t="s">
        <v>1404</v>
      </c>
      <c r="E1" t="s">
        <v>263</v>
      </c>
      <c r="F1" t="s">
        <v>264</v>
      </c>
      <c r="G1" t="s">
        <v>265</v>
      </c>
      <c r="H1" t="s">
        <v>1405</v>
      </c>
      <c r="I1" t="s">
        <v>276</v>
      </c>
      <c r="J1" t="s">
        <v>1406</v>
      </c>
      <c r="K1" t="s">
        <v>277</v>
      </c>
      <c r="L1" t="s">
        <v>1407</v>
      </c>
      <c r="M1" s="2" t="s">
        <v>278</v>
      </c>
      <c r="N1" t="s">
        <v>1408</v>
      </c>
      <c r="O1" t="s">
        <v>280</v>
      </c>
      <c r="P1" t="s">
        <v>281</v>
      </c>
      <c r="R1" t="s">
        <v>1409</v>
      </c>
      <c r="W1" t="s">
        <v>307</v>
      </c>
    </row>
    <row r="2" spans="1:28" x14ac:dyDescent="0.2">
      <c r="A2" t="s">
        <v>266</v>
      </c>
      <c r="B2">
        <v>20</v>
      </c>
      <c r="C2">
        <v>1.6</v>
      </c>
      <c r="D2">
        <f>0.57*10^-4</f>
        <v>5.6999999999999996E-5</v>
      </c>
      <c r="E2">
        <v>3.5999999999999997E-2</v>
      </c>
      <c r="F2" t="s">
        <v>270</v>
      </c>
      <c r="G2" t="s">
        <v>268</v>
      </c>
      <c r="H2">
        <f>LN(D2)</f>
        <v>-9.7724592901297243</v>
      </c>
      <c r="I2">
        <f>LN(E2)</f>
        <v>-3.3242363405260273</v>
      </c>
      <c r="J2">
        <f>AVERAGE(D2:D6)</f>
        <v>1.1960000000000001E-4</v>
      </c>
      <c r="K2">
        <f>AVERAGE(E2:E6)</f>
        <v>3.4600000000000006E-2</v>
      </c>
      <c r="L2" s="2">
        <f>STDEV(D2:D6)</f>
        <v>7.3819374150692978E-5</v>
      </c>
      <c r="M2" s="2">
        <f>STDEV(E2:E6)</f>
        <v>2.073644135332771E-3</v>
      </c>
      <c r="N2">
        <f>(M2/K2)*100</f>
        <v>5.9931911425802618</v>
      </c>
      <c r="O2">
        <f>AVERAGE(I2:I6)</f>
        <v>-3.3653496036109458</v>
      </c>
      <c r="P2">
        <f xml:space="preserve"> STDEV(I2:I6)</f>
        <v>6.0283959935975476E-2</v>
      </c>
      <c r="R2" t="s">
        <v>0</v>
      </c>
      <c r="S2" t="s">
        <v>1410</v>
      </c>
      <c r="T2" t="s">
        <v>1411</v>
      </c>
      <c r="U2" t="s">
        <v>1412</v>
      </c>
      <c r="W2" t="s">
        <v>0</v>
      </c>
      <c r="X2" t="s">
        <v>277</v>
      </c>
      <c r="Y2" s="2" t="s">
        <v>278</v>
      </c>
      <c r="Z2" t="s">
        <v>279</v>
      </c>
      <c r="AA2" t="s">
        <v>280</v>
      </c>
      <c r="AB2" t="s">
        <v>281</v>
      </c>
    </row>
    <row r="3" spans="1:28" x14ac:dyDescent="0.2">
      <c r="A3" t="s">
        <v>266</v>
      </c>
      <c r="B3">
        <v>20</v>
      </c>
      <c r="C3">
        <v>1.6</v>
      </c>
      <c r="D3">
        <f>0.56*10^-4</f>
        <v>5.6000000000000006E-5</v>
      </c>
      <c r="E3">
        <v>3.5000000000000003E-2</v>
      </c>
      <c r="F3" t="s">
        <v>270</v>
      </c>
      <c r="G3" t="s">
        <v>269</v>
      </c>
      <c r="H3">
        <f t="shared" ref="H3:H31" si="0">LN(D3)</f>
        <v>-9.790158867229124</v>
      </c>
      <c r="I3">
        <f>LN(E3)</f>
        <v>-3.3524072174927233</v>
      </c>
      <c r="R3" t="s">
        <v>266</v>
      </c>
      <c r="S3">
        <f>EXP(O2)</f>
        <v>3.4549935224252773E-2</v>
      </c>
      <c r="T3">
        <f>EXP(O2 +P2) -S3</f>
        <v>2.1468676200687292E-3</v>
      </c>
      <c r="U3">
        <f>S3-EXP(O2-P2)</f>
        <v>2.0212697417562112E-3</v>
      </c>
      <c r="W3" t="s">
        <v>266</v>
      </c>
      <c r="X3">
        <v>3.4600000000000006E-2</v>
      </c>
      <c r="Y3">
        <v>2.073644135332771E-3</v>
      </c>
      <c r="Z3">
        <v>5.99319114258026</v>
      </c>
      <c r="AA3">
        <v>-3.3653496036109458</v>
      </c>
      <c r="AB3">
        <v>6.0283959935975497E-2</v>
      </c>
    </row>
    <row r="4" spans="1:28" x14ac:dyDescent="0.2">
      <c r="A4" t="s">
        <v>266</v>
      </c>
      <c r="B4">
        <v>20</v>
      </c>
      <c r="C4">
        <v>3.2</v>
      </c>
      <c r="D4">
        <f>1.03*10^-4</f>
        <v>1.0300000000000001E-4</v>
      </c>
      <c r="E4">
        <v>3.3000000000000002E-2</v>
      </c>
      <c r="F4" t="s">
        <v>270</v>
      </c>
      <c r="H4">
        <f t="shared" si="0"/>
        <v>-9.1807815697346378</v>
      </c>
      <c r="I4">
        <f>LN(E4)</f>
        <v>-3.4112477175156566</v>
      </c>
      <c r="R4" t="s">
        <v>271</v>
      </c>
      <c r="S4">
        <f>EXP(O8)</f>
        <v>0.8515308008122332</v>
      </c>
      <c r="T4">
        <f>EXP(O8+P8) -S4</f>
        <v>8.8885303157007822E-2</v>
      </c>
      <c r="U4">
        <f>S4-EXP(O8-P8)</f>
        <v>8.0484131501219691E-2</v>
      </c>
      <c r="W4" t="s">
        <v>271</v>
      </c>
      <c r="X4">
        <v>0.85333333333333339</v>
      </c>
      <c r="Y4">
        <v>8.1894240741743646E-2</v>
      </c>
      <c r="Z4">
        <v>9.5969813369230828</v>
      </c>
      <c r="AA4">
        <v>-0.16252142646829201</v>
      </c>
      <c r="AB4">
        <v>9.7448210138069633E-2</v>
      </c>
    </row>
    <row r="5" spans="1:28" x14ac:dyDescent="0.2">
      <c r="A5" t="s">
        <v>266</v>
      </c>
      <c r="B5">
        <v>20</v>
      </c>
      <c r="C5">
        <v>4.7</v>
      </c>
      <c r="D5">
        <f>0.00015</f>
        <v>1.4999999999999999E-4</v>
      </c>
      <c r="E5">
        <v>3.2000000000000001E-2</v>
      </c>
      <c r="F5" t="s">
        <v>270</v>
      </c>
      <c r="H5">
        <f t="shared" si="0"/>
        <v>-8.8048752638680181</v>
      </c>
      <c r="I5">
        <f>LN(E5)</f>
        <v>-3.4420193761824103</v>
      </c>
      <c r="R5" t="s">
        <v>273</v>
      </c>
      <c r="S5">
        <f>EXP(O15)</f>
        <v>2.0565948450901388</v>
      </c>
      <c r="T5">
        <f>EXP(O15+P15) -S5</f>
        <v>0.13826319840063661</v>
      </c>
      <c r="U5">
        <f>S5-EXP(O15-P15)</f>
        <v>0.12955342690144156</v>
      </c>
      <c r="W5" t="s">
        <v>273</v>
      </c>
      <c r="X5">
        <v>2.06</v>
      </c>
      <c r="Y5">
        <v>0.12942179105544782</v>
      </c>
      <c r="Z5">
        <v>6.2826112162838745</v>
      </c>
      <c r="AA5">
        <v>0.72105162728940875</v>
      </c>
      <c r="AB5">
        <v>6.5065744477007914E-2</v>
      </c>
    </row>
    <row r="6" spans="1:28" x14ac:dyDescent="0.2">
      <c r="A6" t="s">
        <v>266</v>
      </c>
      <c r="B6">
        <v>20</v>
      </c>
      <c r="C6">
        <v>6.3</v>
      </c>
      <c r="D6">
        <f>0.000232</f>
        <v>2.32E-4</v>
      </c>
      <c r="E6">
        <v>3.6999999999999998E-2</v>
      </c>
      <c r="F6" t="s">
        <v>270</v>
      </c>
      <c r="H6">
        <f t="shared" si="0"/>
        <v>-8.3687731862979646</v>
      </c>
      <c r="I6">
        <f>LN(E6)</f>
        <v>-3.2968373663379125</v>
      </c>
      <c r="R6" t="s">
        <v>308</v>
      </c>
      <c r="S6">
        <f>EXP(O21)</f>
        <v>1.4972759621884941</v>
      </c>
      <c r="T6">
        <f>EXP(O21+P21) -S6</f>
        <v>5.3179819905148973E-2</v>
      </c>
      <c r="U6">
        <f>S6-EXP(O21-P21)</f>
        <v>5.1355779982304117E-2</v>
      </c>
      <c r="W6" t="s">
        <v>308</v>
      </c>
      <c r="X6">
        <v>1.498</v>
      </c>
      <c r="Y6">
        <v>5.1672042731055301E-2</v>
      </c>
      <c r="Z6">
        <v>3.4494020514723167</v>
      </c>
      <c r="AA6">
        <v>0.40364743192760805</v>
      </c>
      <c r="AB6">
        <v>3.4901508742088611E-2</v>
      </c>
    </row>
    <row r="7" spans="1:28" x14ac:dyDescent="0.2">
      <c r="R7" t="s">
        <v>275</v>
      </c>
      <c r="S7">
        <f>EXP(O27)</f>
        <v>48.335791869063932</v>
      </c>
      <c r="T7">
        <f>EXP(O27+P27) -S7</f>
        <v>0.71857363781914074</v>
      </c>
      <c r="U7">
        <f>S7-EXP(O27-P27)</f>
        <v>0.70804760068396178</v>
      </c>
      <c r="W7" t="s">
        <v>275</v>
      </c>
      <c r="X7">
        <v>48.339999999999996</v>
      </c>
      <c r="Y7">
        <v>0.71274118724821911</v>
      </c>
      <c r="Z7">
        <v>1.4744335689868</v>
      </c>
      <c r="AA7">
        <v>3.8781723187153156</v>
      </c>
      <c r="AB7">
        <v>1.4756864495384027E-2</v>
      </c>
    </row>
    <row r="8" spans="1:28" x14ac:dyDescent="0.2">
      <c r="A8" t="s">
        <v>271</v>
      </c>
      <c r="B8">
        <v>20</v>
      </c>
      <c r="C8">
        <v>1.6</v>
      </c>
      <c r="D8" s="54">
        <v>1.513E-6</v>
      </c>
      <c r="E8">
        <v>0.95</v>
      </c>
      <c r="F8" t="s">
        <v>267</v>
      </c>
      <c r="G8" t="s">
        <v>268</v>
      </c>
      <c r="H8">
        <f t="shared" si="0"/>
        <v>-13.401416123158056</v>
      </c>
      <c r="I8">
        <f t="shared" ref="I8:I13" si="1">LN(E8)</f>
        <v>-5.1293294387550578E-2</v>
      </c>
      <c r="J8" s="54">
        <f>AVERAGE(D8:D13)</f>
        <v>2.4047521666666666E-3</v>
      </c>
      <c r="K8">
        <f>AVERAGE(E8:E13)</f>
        <v>0.85499999999999998</v>
      </c>
      <c r="L8" s="2">
        <f>STDEV(D8:D13)</f>
        <v>1.9865997780449305E-3</v>
      </c>
      <c r="M8" s="2">
        <f>STDEV(E8:E13)</f>
        <v>8.3606219864313921E-2</v>
      </c>
      <c r="N8">
        <f>(M8/K8)*100</f>
        <v>9.7785052472881784</v>
      </c>
      <c r="O8">
        <f>AVERAGE(I8:I13)</f>
        <v>-0.1607196071175894</v>
      </c>
      <c r="P8">
        <f xml:space="preserve"> STDEV(I8:I13)</f>
        <v>9.9286769249852178E-2</v>
      </c>
    </row>
    <row r="9" spans="1:28" x14ac:dyDescent="0.2">
      <c r="A9" t="s">
        <v>271</v>
      </c>
      <c r="B9">
        <v>20</v>
      </c>
      <c r="C9">
        <v>1.6</v>
      </c>
      <c r="D9" s="54">
        <v>1.467E-3</v>
      </c>
      <c r="E9">
        <v>0.93</v>
      </c>
      <c r="F9" t="s">
        <v>267</v>
      </c>
      <c r="G9" t="s">
        <v>269</v>
      </c>
      <c r="H9">
        <f t="shared" si="0"/>
        <v>-6.5245357798212922</v>
      </c>
      <c r="I9">
        <f t="shared" si="1"/>
        <v>-7.2570692834835374E-2</v>
      </c>
    </row>
    <row r="10" spans="1:28" x14ac:dyDescent="0.2">
      <c r="A10" t="s">
        <v>271</v>
      </c>
      <c r="B10">
        <v>20</v>
      </c>
      <c r="C10">
        <v>1.6</v>
      </c>
      <c r="D10" s="54">
        <v>1.34E-3</v>
      </c>
      <c r="E10">
        <v>0.84</v>
      </c>
      <c r="F10" t="s">
        <v>270</v>
      </c>
      <c r="G10" t="s">
        <v>272</v>
      </c>
      <c r="H10">
        <f t="shared" si="0"/>
        <v>-6.6150856650193166</v>
      </c>
      <c r="I10">
        <f t="shared" si="1"/>
        <v>-0.1743533871447778</v>
      </c>
    </row>
    <row r="11" spans="1:28" x14ac:dyDescent="0.2">
      <c r="A11" t="s">
        <v>271</v>
      </c>
      <c r="B11">
        <v>20</v>
      </c>
      <c r="C11">
        <v>3.2</v>
      </c>
      <c r="D11" s="54">
        <v>2.33E-3</v>
      </c>
      <c r="E11">
        <v>0.74</v>
      </c>
      <c r="F11" t="s">
        <v>270</v>
      </c>
      <c r="H11">
        <f t="shared" si="0"/>
        <v>-6.0618870114045276</v>
      </c>
      <c r="I11">
        <f t="shared" si="1"/>
        <v>-0.30110509278392161</v>
      </c>
    </row>
    <row r="12" spans="1:28" x14ac:dyDescent="0.2">
      <c r="A12" t="s">
        <v>271</v>
      </c>
      <c r="B12">
        <v>20</v>
      </c>
      <c r="C12">
        <v>4.7</v>
      </c>
      <c r="D12" s="54">
        <v>3.6700000000000001E-3</v>
      </c>
      <c r="E12">
        <v>0.78</v>
      </c>
      <c r="F12" t="s">
        <v>270</v>
      </c>
      <c r="H12">
        <f t="shared" si="0"/>
        <v>-5.607563616915658</v>
      </c>
      <c r="I12">
        <f t="shared" si="1"/>
        <v>-0.24846135929849961</v>
      </c>
    </row>
    <row r="13" spans="1:28" x14ac:dyDescent="0.2">
      <c r="A13" t="s">
        <v>271</v>
      </c>
      <c r="B13">
        <v>20</v>
      </c>
      <c r="C13">
        <v>6.3</v>
      </c>
      <c r="D13" s="54">
        <v>5.62E-3</v>
      </c>
      <c r="E13">
        <v>0.89</v>
      </c>
      <c r="F13" t="s">
        <v>270</v>
      </c>
      <c r="H13">
        <f t="shared" si="0"/>
        <v>-5.1814236150765369</v>
      </c>
      <c r="I13">
        <f t="shared" si="1"/>
        <v>-0.11653381625595151</v>
      </c>
    </row>
    <row r="15" spans="1:28" x14ac:dyDescent="0.2">
      <c r="A15" t="s">
        <v>273</v>
      </c>
      <c r="B15">
        <v>20</v>
      </c>
      <c r="C15">
        <v>0.8</v>
      </c>
      <c r="D15" s="54">
        <v>1.65E-3</v>
      </c>
      <c r="E15">
        <v>2.08</v>
      </c>
      <c r="F15" t="s">
        <v>270</v>
      </c>
      <c r="H15">
        <f t="shared" si="0"/>
        <v>-6.4069799910696474</v>
      </c>
      <c r="I15">
        <f>LN(E15)</f>
        <v>0.73236789371322664</v>
      </c>
      <c r="J15" s="54">
        <f>AVERAGE(D15:D19)</f>
        <v>4.2819999999999993E-3</v>
      </c>
      <c r="K15">
        <f>AVERAGE(E15:E20)</f>
        <v>2.06</v>
      </c>
      <c r="L15" s="2">
        <f>STDEV(D15:D20)</f>
        <v>2.0186678775866028E-3</v>
      </c>
      <c r="M15" s="2">
        <f>STDEV(E15:E20)</f>
        <v>0.12942179105544782</v>
      </c>
      <c r="N15">
        <f>(M15/K15)*100</f>
        <v>6.2826112162838745</v>
      </c>
      <c r="O15">
        <f>AVERAGE(I15:I20)</f>
        <v>0.72105162728940875</v>
      </c>
      <c r="P15">
        <f xml:space="preserve"> STDEV(I15:I20)</f>
        <v>6.5065744477007914E-2</v>
      </c>
    </row>
    <row r="16" spans="1:28" x14ac:dyDescent="0.2">
      <c r="A16" t="s">
        <v>273</v>
      </c>
      <c r="B16">
        <v>20</v>
      </c>
      <c r="C16">
        <v>1.6</v>
      </c>
      <c r="D16" s="54">
        <v>2.9199999999999999E-3</v>
      </c>
      <c r="E16">
        <v>1.84</v>
      </c>
      <c r="F16" t="s">
        <v>270</v>
      </c>
      <c r="H16">
        <f t="shared" si="0"/>
        <v>-5.8361716627019469</v>
      </c>
      <c r="I16">
        <f>LN(E16)</f>
        <v>0.60976557162089429</v>
      </c>
    </row>
    <row r="17" spans="1:16" x14ac:dyDescent="0.2">
      <c r="A17" t="s">
        <v>273</v>
      </c>
      <c r="B17">
        <v>20</v>
      </c>
      <c r="C17">
        <v>2.4</v>
      </c>
      <c r="D17" s="54">
        <v>5.1000000000000004E-3</v>
      </c>
      <c r="E17">
        <v>2.15</v>
      </c>
      <c r="F17" t="s">
        <v>270</v>
      </c>
      <c r="G17" t="s">
        <v>268</v>
      </c>
      <c r="H17">
        <f t="shared" si="0"/>
        <v>-5.2785147392518565</v>
      </c>
      <c r="I17">
        <f>LN(E17)</f>
        <v>0.76546784213957142</v>
      </c>
    </row>
    <row r="18" spans="1:16" x14ac:dyDescent="0.2">
      <c r="A18" t="s">
        <v>273</v>
      </c>
      <c r="B18">
        <v>20</v>
      </c>
      <c r="C18">
        <v>2.4</v>
      </c>
      <c r="D18" s="54">
        <v>4.9199999999999999E-3</v>
      </c>
      <c r="E18">
        <v>2.0699999999999998</v>
      </c>
      <c r="F18" t="s">
        <v>270</v>
      </c>
      <c r="G18" t="s">
        <v>269</v>
      </c>
      <c r="H18">
        <f t="shared" si="0"/>
        <v>-5.3144467484779208</v>
      </c>
      <c r="I18">
        <f>LN(E18)</f>
        <v>0.72754860727727766</v>
      </c>
    </row>
    <row r="19" spans="1:16" x14ac:dyDescent="0.2">
      <c r="A19" t="s">
        <v>273</v>
      </c>
      <c r="B19">
        <v>20</v>
      </c>
      <c r="C19">
        <v>3.2</v>
      </c>
      <c r="D19" s="54">
        <v>6.8199999999999997E-3</v>
      </c>
      <c r="E19">
        <v>2.16</v>
      </c>
      <c r="F19" t="s">
        <v>270</v>
      </c>
      <c r="H19">
        <f t="shared" si="0"/>
        <v>-4.9878958071267663</v>
      </c>
      <c r="I19">
        <f>LN(E19)</f>
        <v>0.77010822169607374</v>
      </c>
    </row>
    <row r="21" spans="1:16" x14ac:dyDescent="0.2">
      <c r="A21" t="s">
        <v>274</v>
      </c>
      <c r="B21">
        <v>20</v>
      </c>
      <c r="C21">
        <v>0.8</v>
      </c>
      <c r="D21" s="54">
        <v>1.2099999999999999E-3</v>
      </c>
      <c r="E21">
        <v>1.53</v>
      </c>
      <c r="F21" t="s">
        <v>270</v>
      </c>
      <c r="H21">
        <f t="shared" si="0"/>
        <v>-6.7171349193734873</v>
      </c>
      <c r="I21">
        <f>LN(E21)</f>
        <v>0.42526773540434409</v>
      </c>
      <c r="J21" s="54">
        <f>AVERAGE(D21:D25)</f>
        <v>2.8540000000000002E-3</v>
      </c>
      <c r="K21">
        <f>AVERAGE(E21:E26)</f>
        <v>1.498</v>
      </c>
      <c r="L21" s="2">
        <f>STDEV(D21:D26)</f>
        <v>1.4080589476296792E-3</v>
      </c>
      <c r="M21" s="2">
        <f>STDEV(E21:E26)</f>
        <v>5.1672042731055301E-2</v>
      </c>
      <c r="N21">
        <f>(M21/K21)*100</f>
        <v>3.4494020514723167</v>
      </c>
      <c r="O21">
        <f>AVERAGE(I21:I26)</f>
        <v>0.40364743192760805</v>
      </c>
      <c r="P21">
        <f xml:space="preserve"> STDEV(I21:I26)</f>
        <v>3.4901508742088611E-2</v>
      </c>
    </row>
    <row r="22" spans="1:16" x14ac:dyDescent="0.2">
      <c r="A22" t="s">
        <v>274</v>
      </c>
      <c r="B22">
        <v>20</v>
      </c>
      <c r="C22">
        <v>1.6</v>
      </c>
      <c r="D22" s="54">
        <v>2.32E-3</v>
      </c>
      <c r="E22">
        <v>1.47</v>
      </c>
      <c r="F22" t="s">
        <v>270</v>
      </c>
      <c r="G22" t="s">
        <v>268</v>
      </c>
      <c r="H22">
        <f t="shared" si="0"/>
        <v>-6.0661880933039187</v>
      </c>
      <c r="I22">
        <f>LN(E22)</f>
        <v>0.38526240079064489</v>
      </c>
    </row>
    <row r="23" spans="1:16" x14ac:dyDescent="0.2">
      <c r="A23" t="s">
        <v>274</v>
      </c>
      <c r="B23">
        <v>20</v>
      </c>
      <c r="C23">
        <v>1.6</v>
      </c>
      <c r="D23" s="54">
        <v>2.2499999999999998E-3</v>
      </c>
      <c r="E23">
        <v>1.42</v>
      </c>
      <c r="F23" t="s">
        <v>270</v>
      </c>
      <c r="G23" t="s">
        <v>269</v>
      </c>
      <c r="H23">
        <f t="shared" si="0"/>
        <v>-6.0968250627658085</v>
      </c>
      <c r="I23">
        <f>LN(E23)</f>
        <v>0.35065687161316933</v>
      </c>
    </row>
    <row r="24" spans="1:16" x14ac:dyDescent="0.2">
      <c r="A24" t="s">
        <v>274</v>
      </c>
      <c r="B24">
        <v>20</v>
      </c>
      <c r="C24">
        <v>2.4</v>
      </c>
      <c r="D24" s="54">
        <v>3.65E-3</v>
      </c>
      <c r="E24">
        <v>1.54</v>
      </c>
      <c r="F24" t="s">
        <v>270</v>
      </c>
      <c r="H24">
        <f t="shared" si="0"/>
        <v>-5.6130281113877372</v>
      </c>
      <c r="I24">
        <f>LN(E24)</f>
        <v>0.43178241642553783</v>
      </c>
    </row>
    <row r="25" spans="1:16" x14ac:dyDescent="0.2">
      <c r="A25" t="s">
        <v>274</v>
      </c>
      <c r="B25">
        <v>20</v>
      </c>
      <c r="C25">
        <v>3.2</v>
      </c>
      <c r="D25" s="54">
        <v>4.8399999999999997E-3</v>
      </c>
      <c r="E25">
        <v>1.53</v>
      </c>
      <c r="F25" t="s">
        <v>270</v>
      </c>
      <c r="H25">
        <f t="shared" si="0"/>
        <v>-5.3308405582535965</v>
      </c>
      <c r="I25">
        <f>LN(E25)</f>
        <v>0.42526773540434409</v>
      </c>
    </row>
    <row r="27" spans="1:16" x14ac:dyDescent="0.2">
      <c r="A27" t="s">
        <v>275</v>
      </c>
      <c r="B27">
        <v>20</v>
      </c>
      <c r="C27">
        <v>0.8</v>
      </c>
      <c r="D27" s="54">
        <v>3.8800000000000001E-2</v>
      </c>
      <c r="E27">
        <v>49.1</v>
      </c>
      <c r="F27" t="s">
        <v>270</v>
      </c>
      <c r="H27">
        <f t="shared" si="0"/>
        <v>-3.2493350323529091</v>
      </c>
      <c r="I27">
        <f>LN(E27)</f>
        <v>3.8938590348004749</v>
      </c>
      <c r="J27" s="54">
        <f>AVERAGE(D27:D31)</f>
        <v>9.1799999999999993E-2</v>
      </c>
      <c r="K27">
        <f>AVERAGE(E27:E32)</f>
        <v>48.339999999999996</v>
      </c>
      <c r="L27" s="2">
        <f>STDEV(D27:D32)</f>
        <v>4.4285268430935366E-2</v>
      </c>
      <c r="M27" s="2">
        <f>STDEV(E27:E32)</f>
        <v>0.71274118724821911</v>
      </c>
      <c r="N27">
        <f>(M27/K27)*100</f>
        <v>1.4744335689868</v>
      </c>
      <c r="O27">
        <f>AVERAGE(I27:I32)</f>
        <v>3.8781723187153156</v>
      </c>
      <c r="P27">
        <f xml:space="preserve"> STDEV(I27:I32)</f>
        <v>1.4756864495384027E-2</v>
      </c>
    </row>
    <row r="28" spans="1:16" x14ac:dyDescent="0.2">
      <c r="A28" t="s">
        <v>275</v>
      </c>
      <c r="B28">
        <v>20</v>
      </c>
      <c r="C28">
        <v>1.6</v>
      </c>
      <c r="D28" s="54">
        <v>7.5999999999999998E-2</v>
      </c>
      <c r="E28">
        <v>48</v>
      </c>
      <c r="F28" s="55" t="s">
        <v>270</v>
      </c>
      <c r="G28" t="s">
        <v>268</v>
      </c>
      <c r="H28">
        <f t="shared" si="0"/>
        <v>-2.5770219386958062</v>
      </c>
      <c r="I28">
        <f>LN(E28)</f>
        <v>3.8712010109078911</v>
      </c>
    </row>
    <row r="29" spans="1:16" x14ac:dyDescent="0.2">
      <c r="A29" t="s">
        <v>275</v>
      </c>
      <c r="B29">
        <v>20</v>
      </c>
      <c r="C29">
        <v>1.6</v>
      </c>
      <c r="D29" s="54">
        <v>7.4899999999999994E-2</v>
      </c>
      <c r="E29">
        <v>47.4</v>
      </c>
      <c r="F29" s="55" t="s">
        <v>270</v>
      </c>
      <c r="G29" t="s">
        <v>269</v>
      </c>
      <c r="H29">
        <f t="shared" si="0"/>
        <v>-2.5916013884589635</v>
      </c>
      <c r="I29">
        <f>LN(E29)</f>
        <v>3.858622228701031</v>
      </c>
    </row>
    <row r="30" spans="1:16" x14ac:dyDescent="0.2">
      <c r="A30" t="s">
        <v>275</v>
      </c>
      <c r="B30">
        <v>20</v>
      </c>
      <c r="C30">
        <v>2.4</v>
      </c>
      <c r="D30" s="54">
        <v>0.1143</v>
      </c>
      <c r="E30">
        <v>48.2</v>
      </c>
      <c r="F30" t="s">
        <v>270</v>
      </c>
      <c r="H30">
        <f t="shared" si="0"/>
        <v>-2.168928708181372</v>
      </c>
      <c r="I30">
        <f>LN(E30)</f>
        <v>3.8753590210565547</v>
      </c>
    </row>
    <row r="31" spans="1:16" x14ac:dyDescent="0.2">
      <c r="A31" t="s">
        <v>275</v>
      </c>
      <c r="B31">
        <v>20</v>
      </c>
      <c r="C31">
        <v>3.2</v>
      </c>
      <c r="D31" s="54">
        <v>0.155</v>
      </c>
      <c r="E31">
        <v>49</v>
      </c>
      <c r="F31" t="s">
        <v>270</v>
      </c>
      <c r="H31">
        <f t="shared" si="0"/>
        <v>-1.8643301620628905</v>
      </c>
      <c r="I31">
        <f>LN(E31)</f>
        <v>3.8918202981106265</v>
      </c>
    </row>
    <row r="32" spans="1:16" x14ac:dyDescent="0.2">
      <c r="P32" t="s">
        <v>285</v>
      </c>
    </row>
    <row r="33" spans="1:24" ht="34" x14ac:dyDescent="0.2">
      <c r="A33" t="s">
        <v>0</v>
      </c>
      <c r="B33" t="s">
        <v>261</v>
      </c>
      <c r="C33" t="s">
        <v>262</v>
      </c>
      <c r="E33" t="s">
        <v>263</v>
      </c>
      <c r="F33" t="s">
        <v>264</v>
      </c>
      <c r="G33" t="s">
        <v>265</v>
      </c>
      <c r="I33" t="s">
        <v>282</v>
      </c>
      <c r="K33" t="s">
        <v>283</v>
      </c>
      <c r="M33" s="1" t="s">
        <v>1413</v>
      </c>
      <c r="N33" t="s">
        <v>284</v>
      </c>
      <c r="P33" t="s">
        <v>294</v>
      </c>
      <c r="Q33" t="s">
        <v>295</v>
      </c>
      <c r="R33" t="s">
        <v>302</v>
      </c>
      <c r="S33" t="s">
        <v>303</v>
      </c>
      <c r="T33" t="s">
        <v>304</v>
      </c>
      <c r="U33" t="s">
        <v>1414</v>
      </c>
      <c r="V33" t="s">
        <v>1403</v>
      </c>
      <c r="W33" t="s">
        <v>1401</v>
      </c>
      <c r="X33" t="s">
        <v>1402</v>
      </c>
    </row>
    <row r="34" spans="1:24" x14ac:dyDescent="0.2">
      <c r="A34" t="s">
        <v>266</v>
      </c>
      <c r="B34">
        <v>10</v>
      </c>
      <c r="C34">
        <v>1.6</v>
      </c>
      <c r="E34">
        <v>2.1000000000000001E-2</v>
      </c>
      <c r="F34" t="s">
        <v>267</v>
      </c>
      <c r="I34">
        <f>LN(E34)</f>
        <v>-3.8632328412587138</v>
      </c>
      <c r="K34">
        <f>1/(273.15+B34)</f>
        <v>3.5316969803990822E-3</v>
      </c>
      <c r="M34" s="2">
        <f>P2</f>
        <v>6.0283959935975476E-2</v>
      </c>
      <c r="N34">
        <f>1/(M34^2)</f>
        <v>275.16706712631799</v>
      </c>
      <c r="P34" t="s">
        <v>286</v>
      </c>
      <c r="Q34">
        <f>SUM(N34:N37)</f>
        <v>1100.6682685052717</v>
      </c>
      <c r="R34">
        <f>(Q34*Q39 - Q35*Q37)/(Q34*Q36-Q35^2)</f>
        <v>-4777.5914023689438</v>
      </c>
      <c r="S34">
        <f>-1* R34*0.001987</f>
        <v>9.493074116507092</v>
      </c>
      <c r="T34">
        <f>(1/2)*(Q38-((Q37^2)/Q34) - (((Q34*Q39 - Q35*Q37)^2)/(Q34*(Q34*Q36 - Q35^2))))</f>
        <v>1.0244162101093082</v>
      </c>
      <c r="U34">
        <f>IF(T34&lt;=1,0.001987^2*Q34 / (Q34*Q36 - Q35^2), 0.001987^2*Q34*T34 / (Q34*Q36 - Q35^2))</f>
        <v>0.83794793391392663</v>
      </c>
      <c r="V34">
        <f>SQRT(U34)</f>
        <v>0.91539496061204462</v>
      </c>
      <c r="W34">
        <v>9.3000000000000007</v>
      </c>
      <c r="X34">
        <v>0.9</v>
      </c>
    </row>
    <row r="35" spans="1:24" x14ac:dyDescent="0.2">
      <c r="A35" t="s">
        <v>266</v>
      </c>
      <c r="B35">
        <v>15</v>
      </c>
      <c r="C35">
        <v>1.6</v>
      </c>
      <c r="E35">
        <v>0.03</v>
      </c>
      <c r="F35" t="s">
        <v>267</v>
      </c>
      <c r="I35">
        <f>LN(E35)</f>
        <v>-3.5065578973199818</v>
      </c>
      <c r="K35">
        <f>1/(273.15+B35)</f>
        <v>3.4704147145583901E-3</v>
      </c>
      <c r="M35" s="2">
        <v>6.0283959935975497E-2</v>
      </c>
      <c r="N35">
        <f t="shared" ref="N35:N57" si="2">1/(M35^2)</f>
        <v>275.16706712631782</v>
      </c>
      <c r="P35" t="s">
        <v>287</v>
      </c>
      <c r="Q35">
        <f>SUMPRODUCT(N34:N37,K34:K37)</f>
        <v>3.7883216113678575</v>
      </c>
    </row>
    <row r="36" spans="1:24" x14ac:dyDescent="0.2">
      <c r="A36" t="s">
        <v>266</v>
      </c>
      <c r="B36">
        <v>20</v>
      </c>
      <c r="C36">
        <v>1.6</v>
      </c>
      <c r="E36">
        <v>3.5499999999999997E-2</v>
      </c>
      <c r="F36" t="s">
        <v>267</v>
      </c>
      <c r="I36">
        <f>LN(E36)</f>
        <v>-3.3382225825007672</v>
      </c>
      <c r="K36">
        <f>1/(273.15+B36)</f>
        <v>3.4112229234180458E-3</v>
      </c>
      <c r="M36" s="2">
        <v>6.0283959935975476E-2</v>
      </c>
      <c r="N36">
        <f t="shared" si="2"/>
        <v>275.16706712631799</v>
      </c>
      <c r="P36" t="s">
        <v>288</v>
      </c>
      <c r="Q36">
        <f>SUMPRODUCT(N34:N37,K34:K37,K34:K37)</f>
        <v>1.3043615135134953E-2</v>
      </c>
    </row>
    <row r="37" spans="1:24" x14ac:dyDescent="0.2">
      <c r="A37" t="s">
        <v>266</v>
      </c>
      <c r="B37">
        <v>25</v>
      </c>
      <c r="C37">
        <v>1.6</v>
      </c>
      <c r="E37">
        <v>5.0999999999999997E-2</v>
      </c>
      <c r="F37" t="s">
        <v>267</v>
      </c>
      <c r="I37">
        <f>LN(E37)</f>
        <v>-2.9759296462578115</v>
      </c>
      <c r="K37">
        <f>1/(273.15+B37)</f>
        <v>3.3540164346805303E-3</v>
      </c>
      <c r="M37" s="2">
        <v>6.0283959935975476E-2</v>
      </c>
      <c r="N37">
        <f t="shared" si="2"/>
        <v>275.16706712631799</v>
      </c>
      <c r="P37" t="s">
        <v>289</v>
      </c>
      <c r="Q37">
        <f>SUMPRODUCT(I34:I37,N34:N37)</f>
        <v>-3765.3704530460022</v>
      </c>
    </row>
    <row r="38" spans="1:24" x14ac:dyDescent="0.2">
      <c r="P38" t="s">
        <v>290</v>
      </c>
      <c r="Q38">
        <f>SUMPRODUCT(I34:I37,I34:I37,N34:N37)</f>
        <v>12993.499951402066</v>
      </c>
    </row>
    <row r="39" spans="1:24" x14ac:dyDescent="0.2">
      <c r="A39" t="s">
        <v>271</v>
      </c>
      <c r="B39">
        <v>10</v>
      </c>
      <c r="C39">
        <v>1.6</v>
      </c>
      <c r="E39">
        <v>0.53</v>
      </c>
      <c r="F39" t="s">
        <v>267</v>
      </c>
      <c r="I39">
        <f>LN(E39)</f>
        <v>-0.6348782724359695</v>
      </c>
      <c r="K39">
        <f>1/(273.15+B39)</f>
        <v>3.5316969803990822E-3</v>
      </c>
      <c r="M39" s="2">
        <f>P8</f>
        <v>9.9286769249852178E-2</v>
      </c>
      <c r="N39">
        <f t="shared" si="2"/>
        <v>101.44186887607179</v>
      </c>
      <c r="P39" t="s">
        <v>291</v>
      </c>
      <c r="Q39">
        <f>SUMPRODUCT(I34:I37,K34:K37,N34:N37)</f>
        <v>-12.982854475141297</v>
      </c>
    </row>
    <row r="40" spans="1:24" x14ac:dyDescent="0.2">
      <c r="A40" t="s">
        <v>271</v>
      </c>
      <c r="B40">
        <v>15</v>
      </c>
      <c r="C40">
        <v>1.6</v>
      </c>
      <c r="E40">
        <v>0.72</v>
      </c>
      <c r="F40" t="s">
        <v>267</v>
      </c>
      <c r="I40">
        <f>LN(E40)</f>
        <v>-0.3285040669720361</v>
      </c>
      <c r="K40">
        <f>1/(273.15+B40)</f>
        <v>3.4704147145583901E-3</v>
      </c>
      <c r="M40" s="2">
        <v>9.9286769249852178E-2</v>
      </c>
      <c r="N40">
        <f t="shared" si="2"/>
        <v>101.44186887607179</v>
      </c>
    </row>
    <row r="41" spans="1:24" x14ac:dyDescent="0.2">
      <c r="A41" t="s">
        <v>271</v>
      </c>
      <c r="B41">
        <v>20</v>
      </c>
      <c r="C41">
        <v>1.6</v>
      </c>
      <c r="E41">
        <v>0.94</v>
      </c>
      <c r="F41" t="s">
        <v>267</v>
      </c>
      <c r="I41">
        <f>LN(E41)</f>
        <v>-6.1875403718087529E-2</v>
      </c>
      <c r="K41">
        <f>1/(273.15+B41)</f>
        <v>3.4112229234180458E-3</v>
      </c>
      <c r="M41" s="2">
        <v>9.9286769249852178E-2</v>
      </c>
      <c r="N41">
        <f t="shared" si="2"/>
        <v>101.44186887607179</v>
      </c>
      <c r="P41" t="s">
        <v>296</v>
      </c>
      <c r="Q41" t="s">
        <v>297</v>
      </c>
      <c r="R41" t="s">
        <v>302</v>
      </c>
      <c r="S41" t="s">
        <v>303</v>
      </c>
      <c r="T41" t="s">
        <v>304</v>
      </c>
    </row>
    <row r="42" spans="1:24" x14ac:dyDescent="0.2">
      <c r="A42" t="s">
        <v>271</v>
      </c>
      <c r="B42">
        <v>25</v>
      </c>
      <c r="C42">
        <v>1.6</v>
      </c>
      <c r="E42">
        <v>1.19</v>
      </c>
      <c r="F42" t="s">
        <v>267</v>
      </c>
      <c r="I42">
        <f>LN(E42)</f>
        <v>0.17395330712343798</v>
      </c>
      <c r="K42">
        <f>1/(273.15+B42)</f>
        <v>3.3540164346805303E-3</v>
      </c>
      <c r="M42" s="2">
        <v>9.9286769249852178E-2</v>
      </c>
      <c r="N42">
        <f t="shared" si="2"/>
        <v>101.44186887607179</v>
      </c>
      <c r="P42" t="s">
        <v>286</v>
      </c>
      <c r="Q42">
        <f>SUM(N44:N47)</f>
        <v>944.83328567654246</v>
      </c>
      <c r="R42">
        <f>(Q42*Q47 - Q43*Q45)/(Q42*Q44-Q43^2)</f>
        <v>-3685.3743221983505</v>
      </c>
      <c r="S42">
        <f>-1* R42*0.001987</f>
        <v>7.3228387782081228</v>
      </c>
      <c r="T42">
        <f>(1/2)*(Q46-((Q45^2)/Q42) - (((Q42*Q47 - Q43*Q45)^2)/(Q42*(Q42*Q44 - Q43^2))))</f>
        <v>0.11667498772599671</v>
      </c>
      <c r="U42">
        <f>IF(T42&lt;=1,0.001987^2*Q42 / (Q42*Q44 - Q43^2), 0.001987^2*Q42*T42 / (Q42*Q44 - Q43^2))</f>
        <v>0.95288799172293381</v>
      </c>
      <c r="V42">
        <f>SQRT(U42)</f>
        <v>0.97615981874021729</v>
      </c>
      <c r="W42">
        <v>6.9</v>
      </c>
      <c r="X42">
        <v>0.7</v>
      </c>
    </row>
    <row r="43" spans="1:24" x14ac:dyDescent="0.2">
      <c r="P43" t="s">
        <v>287</v>
      </c>
      <c r="Q43">
        <f>SUMPRODUCT(N44:N47,K44:K47)</f>
        <v>3.2519628826303384</v>
      </c>
    </row>
    <row r="44" spans="1:24" x14ac:dyDescent="0.2">
      <c r="A44" t="s">
        <v>273</v>
      </c>
      <c r="B44">
        <v>10</v>
      </c>
      <c r="C44">
        <v>1.6</v>
      </c>
      <c r="E44">
        <v>1.3</v>
      </c>
      <c r="F44" t="s">
        <v>267</v>
      </c>
      <c r="I44">
        <f>LN(E44)</f>
        <v>0.26236426446749106</v>
      </c>
      <c r="K44">
        <f>1/(273.15+B44)</f>
        <v>3.5316969803990822E-3</v>
      </c>
      <c r="M44" s="2">
        <f>P15</f>
        <v>6.5065744477007914E-2</v>
      </c>
      <c r="N44">
        <f t="shared" si="2"/>
        <v>236.20832141913559</v>
      </c>
      <c r="P44" t="s">
        <v>288</v>
      </c>
      <c r="Q44">
        <f>SUMPRODUCT(N44:N47,K44:K47,K44:K47)</f>
        <v>1.1196872025724988E-2</v>
      </c>
    </row>
    <row r="45" spans="1:24" x14ac:dyDescent="0.2">
      <c r="A45" t="s">
        <v>273</v>
      </c>
      <c r="B45">
        <v>15</v>
      </c>
      <c r="C45">
        <v>1.6</v>
      </c>
      <c r="E45">
        <v>1.61</v>
      </c>
      <c r="F45" t="s">
        <v>267</v>
      </c>
      <c r="I45">
        <f>LN(E45)</f>
        <v>0.47623417899637172</v>
      </c>
      <c r="K45">
        <f>1/(273.15+B45)</f>
        <v>3.4704147145583901E-3</v>
      </c>
      <c r="M45" s="2">
        <v>6.5065744477007914E-2</v>
      </c>
      <c r="N45">
        <f t="shared" si="2"/>
        <v>236.20832141913559</v>
      </c>
      <c r="P45" t="s">
        <v>289</v>
      </c>
      <c r="Q45">
        <f>SUMPRODUCT(N44:N47,I44:I47)</f>
        <v>561.03834092801708</v>
      </c>
    </row>
    <row r="46" spans="1:24" x14ac:dyDescent="0.2">
      <c r="A46" t="s">
        <v>273</v>
      </c>
      <c r="B46">
        <v>20</v>
      </c>
      <c r="C46">
        <v>1.6</v>
      </c>
      <c r="E46">
        <v>2.08</v>
      </c>
      <c r="F46" t="s">
        <v>267</v>
      </c>
      <c r="I46">
        <f>LN(E46)</f>
        <v>0.73236789371322664</v>
      </c>
      <c r="K46">
        <f>1/(273.15+B46)</f>
        <v>3.4112229234180458E-3</v>
      </c>
      <c r="M46" s="2">
        <v>6.50657444770079E-2</v>
      </c>
      <c r="N46">
        <f t="shared" si="2"/>
        <v>236.20832141913567</v>
      </c>
      <c r="P46" t="s">
        <v>290</v>
      </c>
      <c r="Q46">
        <f>SUMPRODUCT(I44:I47,I44:I47,N44:N47)</f>
        <v>389.65094681591427</v>
      </c>
    </row>
    <row r="47" spans="1:24" x14ac:dyDescent="0.2">
      <c r="A47" t="s">
        <v>273</v>
      </c>
      <c r="B47">
        <v>25</v>
      </c>
      <c r="C47">
        <v>1.6</v>
      </c>
      <c r="E47">
        <v>2.4700000000000002</v>
      </c>
      <c r="F47" t="s">
        <v>267</v>
      </c>
      <c r="I47">
        <f>LN(E47)</f>
        <v>0.90421815063988586</v>
      </c>
      <c r="K47">
        <f>1/(273.15+B47)</f>
        <v>3.3540164346805303E-3</v>
      </c>
      <c r="M47" s="2">
        <v>6.5065744477007914E-2</v>
      </c>
      <c r="N47">
        <f t="shared" si="2"/>
        <v>236.20832141913559</v>
      </c>
      <c r="P47" t="s">
        <v>291</v>
      </c>
      <c r="Q47">
        <f>SUMPRODUCT(N44:N47,K44:K47,I44:I47)</f>
        <v>1.9157330733089373</v>
      </c>
    </row>
    <row r="49" spans="1:24" x14ac:dyDescent="0.2">
      <c r="A49" t="s">
        <v>274</v>
      </c>
      <c r="B49">
        <v>10</v>
      </c>
      <c r="C49">
        <v>1.6</v>
      </c>
      <c r="E49">
        <v>0.82</v>
      </c>
      <c r="F49" t="s">
        <v>267</v>
      </c>
      <c r="I49">
        <f>LN(E49)</f>
        <v>-0.19845093872383832</v>
      </c>
      <c r="K49">
        <f>1/(273.15+B49)</f>
        <v>3.5316969803990822E-3</v>
      </c>
      <c r="M49" s="2">
        <f>P21</f>
        <v>3.4901508742088611E-2</v>
      </c>
      <c r="N49">
        <f t="shared" si="2"/>
        <v>820.94034100016495</v>
      </c>
      <c r="P49" t="s">
        <v>300</v>
      </c>
      <c r="Q49" t="s">
        <v>301</v>
      </c>
      <c r="R49" t="s">
        <v>302</v>
      </c>
      <c r="S49" t="s">
        <v>303</v>
      </c>
      <c r="T49" t="s">
        <v>304</v>
      </c>
      <c r="W49">
        <v>5.8</v>
      </c>
      <c r="X49">
        <v>0.1</v>
      </c>
    </row>
    <row r="50" spans="1:24" x14ac:dyDescent="0.2">
      <c r="A50" t="s">
        <v>274</v>
      </c>
      <c r="B50">
        <v>15</v>
      </c>
      <c r="C50">
        <v>1.6</v>
      </c>
      <c r="E50">
        <v>1.06</v>
      </c>
      <c r="F50" t="s">
        <v>267</v>
      </c>
      <c r="I50">
        <f>LN(E50)</f>
        <v>5.8268908123975824E-2</v>
      </c>
      <c r="K50">
        <f>1/(273.15+B50)</f>
        <v>3.4704147145583901E-3</v>
      </c>
      <c r="M50" s="2">
        <v>3.4901508742088611E-2</v>
      </c>
      <c r="N50">
        <f t="shared" si="2"/>
        <v>820.94034100016495</v>
      </c>
      <c r="P50" t="s">
        <v>286</v>
      </c>
      <c r="Q50">
        <f>SUM(N54:N57)</f>
        <v>18368.420482833782</v>
      </c>
      <c r="R50">
        <f>(Q50*Q55 - Q51*Q53)/(Q50*Q52-Q51^2)</f>
        <v>-2940.8048015296049</v>
      </c>
      <c r="S50">
        <f>-1* R50*0.001987</f>
        <v>5.8433791406393247</v>
      </c>
      <c r="T50">
        <f>(1/2)*(Q54-((Q53^2)/Q50) - (((Q50*Q55 - Q51*Q53)^2)/(Q50*(Q50*Q52 - Q51^2))))</f>
        <v>0.13755677397762156</v>
      </c>
      <c r="U50">
        <f>IF(T50&lt;=1,0.001987^2*Q50 / (Q50*Q52 - Q51^2), 0.001987^2*Q50*T50 / (Q50*Q52 - Q51^2))</f>
        <v>4.9014573296735961E-2</v>
      </c>
      <c r="V50">
        <f>SQRT(U50)</f>
        <v>0.22139235148653164</v>
      </c>
    </row>
    <row r="51" spans="1:24" x14ac:dyDescent="0.2">
      <c r="A51" t="s">
        <v>274</v>
      </c>
      <c r="B51">
        <v>20</v>
      </c>
      <c r="C51">
        <v>1.6</v>
      </c>
      <c r="E51">
        <f>(1.47+1.42)/2</f>
        <v>1.4449999999999998</v>
      </c>
      <c r="F51" t="s">
        <v>267</v>
      </c>
      <c r="I51">
        <f>LN(E51)</f>
        <v>0.36810932156439535</v>
      </c>
      <c r="K51">
        <f>1/(273.15+B51)</f>
        <v>3.4112229234180458E-3</v>
      </c>
      <c r="M51" s="2">
        <v>3.4901508742088611E-2</v>
      </c>
      <c r="N51">
        <f t="shared" si="2"/>
        <v>820.94034100016495</v>
      </c>
      <c r="P51" t="s">
        <v>287</v>
      </c>
      <c r="Q51">
        <f>SUMPRODUCT(N54:N57,K54:K57)</f>
        <v>63.221123269329496</v>
      </c>
    </row>
    <row r="52" spans="1:24" x14ac:dyDescent="0.2">
      <c r="A52" t="s">
        <v>274</v>
      </c>
      <c r="B52">
        <v>25</v>
      </c>
      <c r="C52">
        <v>1.6</v>
      </c>
      <c r="E52">
        <v>1.78</v>
      </c>
      <c r="F52" t="s">
        <v>267</v>
      </c>
      <c r="I52">
        <f>LN(E52)</f>
        <v>0.57661336430399379</v>
      </c>
      <c r="K52">
        <f>1/(273.15+B52)</f>
        <v>3.3540164346805303E-3</v>
      </c>
      <c r="M52" s="2">
        <v>3.4901508742088611E-2</v>
      </c>
      <c r="N52">
        <f t="shared" si="2"/>
        <v>820.94034100016495</v>
      </c>
      <c r="P52" t="s">
        <v>288</v>
      </c>
      <c r="Q52">
        <f>SUMPRODUCT(N54:N57,K54:K57,K54:K57)</f>
        <v>0.21767740042490932</v>
      </c>
    </row>
    <row r="53" spans="1:24" x14ac:dyDescent="0.2">
      <c r="P53" t="s">
        <v>289</v>
      </c>
      <c r="Q53">
        <f>SUMPRODUCT(N54:N57,I54:I57)</f>
        <v>69390.588772043266</v>
      </c>
    </row>
    <row r="54" spans="1:24" x14ac:dyDescent="0.2">
      <c r="A54" t="s">
        <v>275</v>
      </c>
      <c r="B54">
        <v>10</v>
      </c>
      <c r="C54">
        <v>1.6</v>
      </c>
      <c r="E54">
        <v>33.700000000000003</v>
      </c>
      <c r="F54" t="s">
        <v>267</v>
      </c>
      <c r="I54">
        <f>LN(E54)</f>
        <v>3.5174978373583161</v>
      </c>
      <c r="K54">
        <f>1/(273.15+B54)</f>
        <v>3.5316969803990822E-3</v>
      </c>
      <c r="M54" s="2">
        <f>P27</f>
        <v>1.4756864495384027E-2</v>
      </c>
      <c r="N54">
        <f t="shared" si="2"/>
        <v>4592.1051207084456</v>
      </c>
      <c r="P54" t="s">
        <v>290</v>
      </c>
      <c r="Q54">
        <f>SUMPRODUCT(I54:I57,I54:I57,N54:N57)</f>
        <v>262834.51439852483</v>
      </c>
    </row>
    <row r="55" spans="1:24" x14ac:dyDescent="0.2">
      <c r="A55" t="s">
        <v>275</v>
      </c>
      <c r="B55">
        <v>15</v>
      </c>
      <c r="C55">
        <v>1.6</v>
      </c>
      <c r="E55">
        <v>40</v>
      </c>
      <c r="F55" t="s">
        <v>267</v>
      </c>
      <c r="I55">
        <f>LN(E55)</f>
        <v>3.6888794541139363</v>
      </c>
      <c r="K55">
        <f>1/(273.15+B55)</f>
        <v>3.4704147145583901E-3</v>
      </c>
      <c r="M55" s="2">
        <v>1.4756864495384027E-2</v>
      </c>
      <c r="N55">
        <f t="shared" si="2"/>
        <v>4592.1051207084456</v>
      </c>
      <c r="P55" t="s">
        <v>291</v>
      </c>
      <c r="Q55">
        <f>SUMPRODUCT(N54:N57,K54:K57,I54:I57)</f>
        <v>238.59426431678628</v>
      </c>
    </row>
    <row r="56" spans="1:24" x14ac:dyDescent="0.2">
      <c r="A56" t="s">
        <v>275</v>
      </c>
      <c r="B56">
        <v>20</v>
      </c>
      <c r="C56">
        <v>1.6</v>
      </c>
      <c r="E56">
        <f>AVERAGE(E28,E29)</f>
        <v>47.7</v>
      </c>
      <c r="F56" t="s">
        <v>267</v>
      </c>
      <c r="I56">
        <f>LN(E56)</f>
        <v>3.8649313978942956</v>
      </c>
      <c r="K56">
        <f>1/(273.15+B56)</f>
        <v>3.4112229234180458E-3</v>
      </c>
      <c r="M56" s="2">
        <v>1.4756864495384027E-2</v>
      </c>
      <c r="N56">
        <f t="shared" si="2"/>
        <v>4592.1051207084456</v>
      </c>
    </row>
    <row r="57" spans="1:24" x14ac:dyDescent="0.2">
      <c r="A57" t="s">
        <v>275</v>
      </c>
      <c r="B57">
        <v>25</v>
      </c>
      <c r="C57">
        <v>1.6</v>
      </c>
      <c r="E57">
        <v>56.8</v>
      </c>
      <c r="F57" t="s">
        <v>267</v>
      </c>
      <c r="I57">
        <f>LN(E57)</f>
        <v>4.0395363257271057</v>
      </c>
      <c r="K57">
        <f>1/(273.15+B57)</f>
        <v>3.3540164346805303E-3</v>
      </c>
      <c r="M57" s="2">
        <v>1.4756864495384027E-2</v>
      </c>
      <c r="N57">
        <f t="shared" si="2"/>
        <v>4592.1051207084456</v>
      </c>
      <c r="P57" t="s">
        <v>292</v>
      </c>
      <c r="Q57" t="s">
        <v>293</v>
      </c>
      <c r="R57" t="s">
        <v>302</v>
      </c>
      <c r="S57" t="s">
        <v>303</v>
      </c>
      <c r="T57" t="s">
        <v>304</v>
      </c>
    </row>
    <row r="58" spans="1:24" x14ac:dyDescent="0.2">
      <c r="P58" t="s">
        <v>286</v>
      </c>
      <c r="Q58">
        <f>SUM(N39:N42)</f>
        <v>405.76747550428718</v>
      </c>
      <c r="R58">
        <f>(Q58*Q63 - Q59*Q61)/(Q58*Q60-Q59^2)</f>
        <v>-4550.4256821452254</v>
      </c>
      <c r="S58">
        <f>-1* R58*0.001987</f>
        <v>9.0416958304225634</v>
      </c>
      <c r="T58">
        <f>(1/2)*(Q62-((Q61^2)/Q58) - (((Q58*Q63 - Q59*Q61)^2)/(Q58*(Q58*Q60 - Q59^2))))</f>
        <v>3.4475941318980574E-2</v>
      </c>
      <c r="U58">
        <f>IF(T58&lt;=1,0.001987^2*Q58 / (Q58*Q60 - Q59^2), 0.001987^2*Q58*T58 / (Q58*Q60 - Q59^2))</f>
        <v>2.2188084221938884</v>
      </c>
      <c r="V58">
        <f>SQRT(U58)</f>
        <v>1.4895665215739404</v>
      </c>
      <c r="W58">
        <v>8.9</v>
      </c>
      <c r="X58">
        <v>0.3</v>
      </c>
    </row>
    <row r="59" spans="1:24" x14ac:dyDescent="0.2">
      <c r="P59" t="s">
        <v>287</v>
      </c>
      <c r="Q59">
        <f>SUMPRODUCT(N39:N42,K39:K42)</f>
        <v>1.3965858202949606</v>
      </c>
    </row>
    <row r="60" spans="1:24" x14ac:dyDescent="0.2">
      <c r="P60" t="s">
        <v>288</v>
      </c>
      <c r="Q60">
        <f>SUMPRODUCT(N39:N42,K39:K42,K39:K42)</f>
        <v>4.8086012255270823E-3</v>
      </c>
    </row>
    <row r="61" spans="1:24" x14ac:dyDescent="0.2">
      <c r="P61" t="s">
        <v>289</v>
      </c>
      <c r="Q61">
        <f>SUMPRODUCT(I39:I42,N39:N42)</f>
        <v>-86.3579129705996</v>
      </c>
    </row>
    <row r="62" spans="1:24" x14ac:dyDescent="0.2">
      <c r="P62" t="s">
        <v>290</v>
      </c>
      <c r="Q62">
        <f>SUMPRODUCT(I39:I42,I39:I42,N39:N42)</f>
        <v>55.293290894934934</v>
      </c>
    </row>
    <row r="63" spans="1:24" x14ac:dyDescent="0.2">
      <c r="P63" t="s">
        <v>291</v>
      </c>
      <c r="Q63">
        <f>SUMPRODUCT(N39:N42,K39:K42,I39:I42)</f>
        <v>-0.30532699714739064</v>
      </c>
    </row>
    <row r="65" spans="16:24" x14ac:dyDescent="0.2">
      <c r="P65" t="s">
        <v>298</v>
      </c>
      <c r="Q65" t="s">
        <v>299</v>
      </c>
      <c r="R65" t="s">
        <v>302</v>
      </c>
      <c r="S65" t="s">
        <v>303</v>
      </c>
      <c r="T65" t="s">
        <v>304</v>
      </c>
      <c r="U65" t="s">
        <v>305</v>
      </c>
      <c r="V65" t="s">
        <v>306</v>
      </c>
      <c r="W65">
        <v>8.8000000000000007</v>
      </c>
      <c r="X65">
        <v>0.5</v>
      </c>
    </row>
    <row r="66" spans="16:24" x14ac:dyDescent="0.2">
      <c r="P66" t="s">
        <v>286</v>
      </c>
      <c r="Q66">
        <f>SUM(N49:N52)</f>
        <v>3283.7613640006598</v>
      </c>
      <c r="R66">
        <f>(Q66*Q71 - Q67*Q69)/(Q66*Q68-Q67^2)</f>
        <v>-4451.0163607555296</v>
      </c>
      <c r="S66">
        <f>-1* R66*0.001987</f>
        <v>8.8441695088212384</v>
      </c>
      <c r="T66">
        <f>(1/2)*(Q70-((Q69^2)/Q66) - (((Q66*Q71 - Q67*Q69)^2)/(Q66*(Q66*Q68 - Q67^2))))</f>
        <v>0.58543622170100207</v>
      </c>
      <c r="U66">
        <f>IF(T66&lt;=1,0.001987^2*Q66 / (Q66*Q68 - Q67^2), 0.001987^2*Q66*T66 / (Q66*Q68 - Q67^2))</f>
        <v>0.27417348348475773</v>
      </c>
      <c r="V66">
        <f>SQRT(U66)</f>
        <v>0.52361577849102081</v>
      </c>
    </row>
    <row r="67" spans="16:24" x14ac:dyDescent="0.2">
      <c r="P67" t="s">
        <v>287</v>
      </c>
      <c r="Q67">
        <f>SUMPRODUCT(N49:N52,K49:K52)</f>
        <v>11.302173868164811</v>
      </c>
    </row>
    <row r="68" spans="16:24" x14ac:dyDescent="0.2">
      <c r="P68" t="s">
        <v>288</v>
      </c>
      <c r="Q68">
        <f>SUMPRODUCT(N49:N52,K49:K52,K49:K52)</f>
        <v>3.8914649084793938E-2</v>
      </c>
    </row>
    <row r="69" spans="16:24" x14ac:dyDescent="0.2">
      <c r="P69" t="s">
        <v>289</v>
      </c>
      <c r="Q69">
        <f>SUMPRODUCT(N49:N52,I49:I52)</f>
        <v>660.47987988464047</v>
      </c>
    </row>
    <row r="70" spans="16:24" x14ac:dyDescent="0.2">
      <c r="P70" t="s">
        <v>290</v>
      </c>
      <c r="Q70">
        <f>SUMPRODUCT(N49:N52,I49:I52,I49:I52)</f>
        <v>419.30799163299076</v>
      </c>
    </row>
    <row r="71" spans="16:24" x14ac:dyDescent="0.2">
      <c r="P71" t="s">
        <v>291</v>
      </c>
      <c r="Q71">
        <f>SUMPRODUCT(N49:N52,K49:K52,I49:I52)</f>
        <v>2.2091688068652822</v>
      </c>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0C515-8959-5C43-8CE2-8114E03FF0BB}">
  <dimension ref="A1:I15"/>
  <sheetViews>
    <sheetView zoomScale="75" workbookViewId="0">
      <selection activeCell="G18" sqref="G18"/>
    </sheetView>
  </sheetViews>
  <sheetFormatPr baseColWidth="10" defaultRowHeight="16" x14ac:dyDescent="0.2"/>
  <cols>
    <col min="1" max="1" width="22.5" customWidth="1"/>
    <col min="2" max="2" width="12" bestFit="1" customWidth="1"/>
    <col min="4" max="4" width="12" bestFit="1" customWidth="1"/>
    <col min="5" max="5" width="12.1640625" bestFit="1" customWidth="1"/>
    <col min="8" max="9" width="14.6640625" bestFit="1" customWidth="1"/>
  </cols>
  <sheetData>
    <row r="1" spans="1:9" x14ac:dyDescent="0.2">
      <c r="A1" t="s">
        <v>1387</v>
      </c>
      <c r="F1" t="s">
        <v>1400</v>
      </c>
    </row>
    <row r="2" spans="1:9" x14ac:dyDescent="0.2">
      <c r="A2" t="s">
        <v>0</v>
      </c>
      <c r="B2" t="s">
        <v>1395</v>
      </c>
      <c r="C2" t="s">
        <v>1388</v>
      </c>
      <c r="D2" t="s">
        <v>1389</v>
      </c>
      <c r="E2" t="s">
        <v>1393</v>
      </c>
      <c r="F2" t="s">
        <v>1398</v>
      </c>
      <c r="G2" t="s">
        <v>1394</v>
      </c>
      <c r="H2" t="s">
        <v>1396</v>
      </c>
      <c r="I2" t="s">
        <v>1397</v>
      </c>
    </row>
    <row r="3" spans="1:9" x14ac:dyDescent="0.2">
      <c r="A3" t="s">
        <v>271</v>
      </c>
      <c r="B3">
        <v>0.67</v>
      </c>
      <c r="C3">
        <v>0.05</v>
      </c>
      <c r="D3" t="s">
        <v>1390</v>
      </c>
      <c r="E3">
        <f>C3/B3</f>
        <v>7.4626865671641784E-2</v>
      </c>
      <c r="F3">
        <f>C3/B3</f>
        <v>7.4626865671641784E-2</v>
      </c>
      <c r="G3">
        <f>LN(B3)</f>
        <v>-0.40047756659712525</v>
      </c>
      <c r="H3" s="53">
        <f>B3*(EXP(F3)-1)</f>
        <v>5.191296032317691E-2</v>
      </c>
      <c r="I3" s="53">
        <f>B3*(1-EXP(-F3))</f>
        <v>4.817988501128706E-2</v>
      </c>
    </row>
    <row r="4" spans="1:9" x14ac:dyDescent="0.2">
      <c r="A4" t="s">
        <v>274</v>
      </c>
      <c r="B4">
        <v>0.69</v>
      </c>
      <c r="C4">
        <v>0.1</v>
      </c>
      <c r="D4" t="s">
        <v>1390</v>
      </c>
      <c r="E4">
        <f t="shared" ref="E4:E14" si="0">C4/B4</f>
        <v>0.14492753623188409</v>
      </c>
      <c r="F4">
        <f t="shared" ref="F4:F14" si="1">C4/B4</f>
        <v>0.14492753623188409</v>
      </c>
      <c r="G4">
        <f t="shared" ref="G4:G14" si="2">LN(B4)</f>
        <v>-0.37106368139083207</v>
      </c>
      <c r="H4" s="53">
        <f t="shared" ref="H4:H14" si="3">B4*(EXP(F4)-1)</f>
        <v>0.1076095036006456</v>
      </c>
      <c r="I4" s="53">
        <f t="shared" ref="I4:I14" si="4">B4*(1-EXP(-F4))</f>
        <v>9.3091365071825791E-2</v>
      </c>
    </row>
    <row r="5" spans="1:9" x14ac:dyDescent="0.2">
      <c r="A5" t="s">
        <v>275</v>
      </c>
      <c r="B5">
        <v>39</v>
      </c>
      <c r="C5">
        <v>3</v>
      </c>
      <c r="D5" t="s">
        <v>1390</v>
      </c>
      <c r="E5">
        <f t="shared" si="0"/>
        <v>7.6923076923076927E-2</v>
      </c>
      <c r="F5">
        <f t="shared" si="1"/>
        <v>7.6923076923076927E-2</v>
      </c>
      <c r="G5">
        <f t="shared" si="2"/>
        <v>3.6635616461296463</v>
      </c>
      <c r="H5" s="53">
        <f t="shared" si="3"/>
        <v>3.1184009776992783</v>
      </c>
      <c r="I5" s="53">
        <f t="shared" si="4"/>
        <v>2.8875179329496747</v>
      </c>
    </row>
    <row r="6" spans="1:9" x14ac:dyDescent="0.2">
      <c r="A6" t="s">
        <v>634</v>
      </c>
      <c r="B6">
        <v>77</v>
      </c>
      <c r="C6">
        <v>5</v>
      </c>
      <c r="D6" t="s">
        <v>1390</v>
      </c>
      <c r="E6">
        <f t="shared" si="0"/>
        <v>6.4935064935064929E-2</v>
      </c>
      <c r="F6">
        <f t="shared" si="1"/>
        <v>6.4935064935064929E-2</v>
      </c>
      <c r="G6">
        <f t="shared" si="2"/>
        <v>4.3438054218536841</v>
      </c>
      <c r="H6" s="53">
        <f t="shared" si="3"/>
        <v>5.1659092556972679</v>
      </c>
      <c r="I6" s="53">
        <f t="shared" si="4"/>
        <v>4.8411198304984113</v>
      </c>
    </row>
    <row r="7" spans="1:9" x14ac:dyDescent="0.2">
      <c r="A7" t="s">
        <v>636</v>
      </c>
      <c r="B7">
        <v>74</v>
      </c>
      <c r="C7">
        <v>7</v>
      </c>
      <c r="D7" t="s">
        <v>1390</v>
      </c>
      <c r="E7">
        <f t="shared" si="0"/>
        <v>9.45945945945946E-2</v>
      </c>
      <c r="F7">
        <f t="shared" si="1"/>
        <v>9.45945945945946E-2</v>
      </c>
      <c r="G7">
        <f t="shared" si="2"/>
        <v>4.3040650932041702</v>
      </c>
      <c r="H7" s="53">
        <f t="shared" si="3"/>
        <v>7.341772199888922</v>
      </c>
      <c r="I7" s="53">
        <f t="shared" si="4"/>
        <v>6.6791161305989135</v>
      </c>
    </row>
    <row r="8" spans="1:9" x14ac:dyDescent="0.2">
      <c r="A8" t="s">
        <v>639</v>
      </c>
      <c r="B8">
        <v>13.4</v>
      </c>
      <c r="C8">
        <v>0.7</v>
      </c>
      <c r="D8" t="s">
        <v>1390</v>
      </c>
      <c r="E8">
        <f t="shared" si="0"/>
        <v>5.2238805970149252E-2</v>
      </c>
      <c r="F8">
        <f t="shared" si="1"/>
        <v>5.2238805970149252E-2</v>
      </c>
      <c r="G8">
        <f t="shared" si="2"/>
        <v>2.5952547069568657</v>
      </c>
      <c r="H8" s="53">
        <f t="shared" si="3"/>
        <v>0.71860615457103549</v>
      </c>
      <c r="I8" s="53">
        <f t="shared" si="4"/>
        <v>0.68203067397940786</v>
      </c>
    </row>
    <row r="9" spans="1:9" x14ac:dyDescent="0.2">
      <c r="A9" t="s">
        <v>543</v>
      </c>
      <c r="B9">
        <v>142</v>
      </c>
      <c r="C9">
        <v>3</v>
      </c>
      <c r="D9" t="s">
        <v>1390</v>
      </c>
      <c r="E9">
        <f t="shared" si="0"/>
        <v>2.1126760563380281E-2</v>
      </c>
      <c r="F9">
        <f t="shared" si="1"/>
        <v>2.1126760563380281E-2</v>
      </c>
      <c r="G9">
        <f t="shared" si="2"/>
        <v>4.9558270576012609</v>
      </c>
      <c r="H9" s="53">
        <f t="shared" si="3"/>
        <v>3.0319144945639294</v>
      </c>
      <c r="I9" s="53">
        <f t="shared" si="4"/>
        <v>2.9685318554090601</v>
      </c>
    </row>
    <row r="10" spans="1:9" x14ac:dyDescent="0.2">
      <c r="A10" t="s">
        <v>641</v>
      </c>
      <c r="B10">
        <v>120</v>
      </c>
      <c r="C10">
        <v>9</v>
      </c>
      <c r="D10" t="s">
        <v>1390</v>
      </c>
      <c r="E10">
        <f t="shared" si="0"/>
        <v>7.4999999999999997E-2</v>
      </c>
      <c r="F10">
        <f>C10/B10</f>
        <v>7.4999999999999997E-2</v>
      </c>
      <c r="G10">
        <f t="shared" si="2"/>
        <v>4.7874917427820458</v>
      </c>
      <c r="H10" s="53">
        <f t="shared" si="3"/>
        <v>9.3460981061557824</v>
      </c>
      <c r="I10" s="53">
        <f t="shared" si="4"/>
        <v>8.670781640573658</v>
      </c>
    </row>
    <row r="11" spans="1:9" x14ac:dyDescent="0.2">
      <c r="A11" t="s">
        <v>1391</v>
      </c>
      <c r="B11">
        <v>98</v>
      </c>
      <c r="C11">
        <v>4</v>
      </c>
      <c r="D11" t="s">
        <v>1390</v>
      </c>
      <c r="E11">
        <f t="shared" si="0"/>
        <v>4.0816326530612242E-2</v>
      </c>
      <c r="F11">
        <f t="shared" si="1"/>
        <v>4.0816326530612242E-2</v>
      </c>
      <c r="G11">
        <f t="shared" si="2"/>
        <v>4.5849674786705723</v>
      </c>
      <c r="H11" s="53">
        <f t="shared" si="3"/>
        <v>4.0827547276970515</v>
      </c>
      <c r="I11" s="53">
        <f t="shared" si="4"/>
        <v>3.9194667540231842</v>
      </c>
    </row>
    <row r="12" spans="1:9" x14ac:dyDescent="0.2">
      <c r="A12" t="s">
        <v>1392</v>
      </c>
      <c r="B12">
        <v>237</v>
      </c>
      <c r="C12">
        <v>3</v>
      </c>
      <c r="D12" t="s">
        <v>1390</v>
      </c>
      <c r="E12">
        <f t="shared" si="0"/>
        <v>1.2658227848101266E-2</v>
      </c>
      <c r="F12">
        <f t="shared" si="1"/>
        <v>1.2658227848101266E-2</v>
      </c>
      <c r="G12">
        <f t="shared" si="2"/>
        <v>5.4680601411351315</v>
      </c>
      <c r="H12" s="53">
        <f t="shared" si="3"/>
        <v>3.0190677113111133</v>
      </c>
      <c r="I12" s="53">
        <f t="shared" si="4"/>
        <v>2.9810925207048271</v>
      </c>
    </row>
    <row r="13" spans="1:9" x14ac:dyDescent="0.2">
      <c r="A13" t="s">
        <v>646</v>
      </c>
      <c r="B13">
        <v>15.7</v>
      </c>
      <c r="C13">
        <v>0.4</v>
      </c>
      <c r="D13" t="s">
        <v>1390</v>
      </c>
      <c r="E13">
        <f t="shared" si="0"/>
        <v>2.5477707006369428E-2</v>
      </c>
      <c r="F13">
        <f t="shared" si="1"/>
        <v>2.5477707006369428E-2</v>
      </c>
      <c r="G13">
        <f t="shared" si="2"/>
        <v>2.7536607123542622</v>
      </c>
      <c r="H13" s="53">
        <f t="shared" si="3"/>
        <v>0.40513909268079185</v>
      </c>
      <c r="I13" s="53">
        <f t="shared" si="4"/>
        <v>0.39494745860214886</v>
      </c>
    </row>
    <row r="14" spans="1:9" x14ac:dyDescent="0.2">
      <c r="A14" t="s">
        <v>647</v>
      </c>
      <c r="B14">
        <v>2.4</v>
      </c>
      <c r="C14">
        <v>0.2</v>
      </c>
      <c r="D14" t="s">
        <v>1390</v>
      </c>
      <c r="E14">
        <f t="shared" si="0"/>
        <v>8.3333333333333343E-2</v>
      </c>
      <c r="F14">
        <f t="shared" si="1"/>
        <v>8.3333333333333343E-2</v>
      </c>
      <c r="G14">
        <f t="shared" si="2"/>
        <v>0.87546873735389985</v>
      </c>
      <c r="H14" s="53">
        <f t="shared" si="3"/>
        <v>0.20856971885094958</v>
      </c>
      <c r="I14" s="53">
        <f t="shared" si="4"/>
        <v>0.19189340488962409</v>
      </c>
    </row>
    <row r="15" spans="1:9" x14ac:dyDescent="0.2">
      <c r="A15" t="s">
        <v>1399</v>
      </c>
      <c r="C15">
        <f>C10-C4</f>
        <v>8.9</v>
      </c>
      <c r="E15">
        <f>E4-E12</f>
        <v>0.13226930838378281</v>
      </c>
      <c r="F15">
        <f>F4-F12</f>
        <v>0.13226930838378281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Papers and Values</vt:lpstr>
      <vt:lpstr>rate k</vt:lpstr>
      <vt:lpstr>Analysed Data Lazscovitz</vt:lpstr>
      <vt:lpstr>Huang et al 2001</vt:lpstr>
      <vt:lpstr>Waldemer 2001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Skyla White</dc:creator>
  <cp:lastModifiedBy>Skyla White</cp:lastModifiedBy>
  <dcterms:created xsi:type="dcterms:W3CDTF">2025-12-09T09:42:24Z</dcterms:created>
  <dcterms:modified xsi:type="dcterms:W3CDTF">2026-07-31T09:10:14Z</dcterms:modified>
</cp:coreProperties>
</file>